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rtheastern-my.sharepoint.com/personal/lakhani_nir_northeastern_edu/Documents/Financial Modeling/2) Indexes/Project 2/"/>
    </mc:Choice>
  </mc:AlternateContent>
  <xr:revisionPtr revIDLastSave="274" documentId="8_{A204D2C7-7996-CB4D-A93D-1C6D8982D339}" xr6:coauthVersionLast="47" xr6:coauthVersionMax="47" xr10:uidLastSave="{A0009149-53A2-EA4A-A12E-5CFD12A5E579}"/>
  <bookViews>
    <workbookView xWindow="0" yWindow="780" windowWidth="34200" windowHeight="19320" xr2:uid="{20C63FA0-4DD1-0742-9C2E-FEE465F8B4EC}"/>
  </bookViews>
  <sheets>
    <sheet name="Sheet1" sheetId="1" r:id="rId1"/>
    <sheet name="Sheet 2" sheetId="2" r:id="rId2"/>
    <sheet name="Split Check" sheetId="4" r:id="rId3"/>
  </sheets>
  <definedNames>
    <definedName name="solver_adj" localSheetId="1" hidden="1">'Sheet 2'!$K$124:$N$124</definedName>
    <definedName name="solver_eng" localSheetId="1" hidden="1">1</definedName>
    <definedName name="solver_lhs1" localSheetId="1" hidden="1">'Sheet 2'!$N$126</definedName>
    <definedName name="solver_lin" localSheetId="1" hidden="1">2</definedName>
    <definedName name="solver_neg" localSheetId="1" hidden="1">1</definedName>
    <definedName name="solver_num" localSheetId="1" hidden="1">1</definedName>
    <definedName name="solver_opt" localSheetId="1" hidden="1">'Sheet 2'!$AJ$11</definedName>
    <definedName name="solver_rel1" localSheetId="1" hidden="1">2</definedName>
    <definedName name="solver_rhs1" localSheetId="1" hidden="1">1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" i="1" l="1"/>
  <c r="AF14" i="1"/>
  <c r="AF18" i="1"/>
  <c r="AF19" i="1" s="1"/>
  <c r="AF17" i="1"/>
  <c r="AF15" i="1"/>
  <c r="AF16" i="1" s="1"/>
  <c r="AB3" i="1"/>
  <c r="AF13" i="1"/>
  <c r="AA3" i="1"/>
  <c r="AF12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4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P3" i="1"/>
  <c r="Q3" i="1" s="1"/>
  <c r="AA122" i="2" l="1"/>
  <c r="AA121" i="2"/>
  <c r="AA120" i="2"/>
  <c r="AA119" i="2"/>
  <c r="AA118" i="2"/>
  <c r="AA117" i="2"/>
  <c r="AA116" i="2"/>
  <c r="AA115" i="2"/>
  <c r="AA114" i="2"/>
  <c r="AA113" i="2"/>
  <c r="AA112" i="2"/>
  <c r="AA111" i="2"/>
  <c r="AA110" i="2"/>
  <c r="AA109" i="2"/>
  <c r="AA108" i="2"/>
  <c r="AA107" i="2"/>
  <c r="AA106" i="2"/>
  <c r="AA105" i="2"/>
  <c r="AA104" i="2"/>
  <c r="AA103" i="2"/>
  <c r="AA102" i="2"/>
  <c r="AA101" i="2"/>
  <c r="AA100" i="2"/>
  <c r="AA99" i="2"/>
  <c r="AA98" i="2"/>
  <c r="AA97" i="2"/>
  <c r="AA96" i="2"/>
  <c r="AA95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70" i="2"/>
  <c r="AA69" i="2"/>
  <c r="AA68" i="2"/>
  <c r="AA67" i="2"/>
  <c r="AA66" i="2"/>
  <c r="AA65" i="2"/>
  <c r="AA64" i="2"/>
  <c r="AA63" i="2"/>
  <c r="AA62" i="2"/>
  <c r="AA61" i="2"/>
  <c r="AA60" i="2"/>
  <c r="AA59" i="2"/>
  <c r="AA58" i="2"/>
  <c r="AA57" i="2"/>
  <c r="AA56" i="2"/>
  <c r="AA55" i="2"/>
  <c r="AA54" i="2"/>
  <c r="AA53" i="2"/>
  <c r="AA52" i="2"/>
  <c r="AA51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T3" i="2"/>
  <c r="U3" i="2" s="1"/>
  <c r="I70" i="2"/>
  <c r="J32" i="1" l="1"/>
  <c r="C4" i="2" l="1"/>
  <c r="K4" i="2" s="1"/>
  <c r="C3" i="4"/>
  <c r="L3" i="4"/>
  <c r="F3" i="4"/>
  <c r="N126" i="2"/>
  <c r="I94" i="2"/>
  <c r="N94" i="2" s="1"/>
  <c r="N70" i="2"/>
  <c r="G93" i="2"/>
  <c r="M93" i="2" s="1"/>
  <c r="E116" i="2"/>
  <c r="L116" i="2" s="1"/>
  <c r="E81" i="2"/>
  <c r="L81" i="2" s="1"/>
  <c r="L94" i="4"/>
  <c r="L70" i="4"/>
  <c r="I93" i="4"/>
  <c r="F116" i="4"/>
  <c r="F81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I3" i="4" s="1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4" i="4"/>
  <c r="H4" i="4"/>
  <c r="E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4" i="4"/>
  <c r="I5" i="2"/>
  <c r="N5" i="2" s="1"/>
  <c r="I6" i="2"/>
  <c r="N6" i="2" s="1"/>
  <c r="I7" i="2"/>
  <c r="N7" i="2" s="1"/>
  <c r="I8" i="2"/>
  <c r="N8" i="2" s="1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N22" i="2" s="1"/>
  <c r="I23" i="2"/>
  <c r="N23" i="2" s="1"/>
  <c r="I24" i="2"/>
  <c r="N24" i="2" s="1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8" i="2"/>
  <c r="N38" i="2" s="1"/>
  <c r="I39" i="2"/>
  <c r="N39" i="2" s="1"/>
  <c r="I40" i="2"/>
  <c r="N40" i="2" s="1"/>
  <c r="I41" i="2"/>
  <c r="N41" i="2" s="1"/>
  <c r="I42" i="2"/>
  <c r="N42" i="2" s="1"/>
  <c r="I43" i="2"/>
  <c r="N43" i="2" s="1"/>
  <c r="I44" i="2"/>
  <c r="N44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52" i="2"/>
  <c r="N52" i="2" s="1"/>
  <c r="I53" i="2"/>
  <c r="N53" i="2" s="1"/>
  <c r="I54" i="2"/>
  <c r="N54" i="2" s="1"/>
  <c r="I55" i="2"/>
  <c r="N55" i="2" s="1"/>
  <c r="I56" i="2"/>
  <c r="N56" i="2" s="1"/>
  <c r="I57" i="2"/>
  <c r="N57" i="2" s="1"/>
  <c r="I58" i="2"/>
  <c r="N58" i="2" s="1"/>
  <c r="I59" i="2"/>
  <c r="N59" i="2" s="1"/>
  <c r="I60" i="2"/>
  <c r="N60" i="2" s="1"/>
  <c r="I61" i="2"/>
  <c r="N61" i="2" s="1"/>
  <c r="I62" i="2"/>
  <c r="N62" i="2" s="1"/>
  <c r="I63" i="2"/>
  <c r="N63" i="2" s="1"/>
  <c r="I64" i="2"/>
  <c r="N64" i="2" s="1"/>
  <c r="I65" i="2"/>
  <c r="N65" i="2" s="1"/>
  <c r="I66" i="2"/>
  <c r="N66" i="2" s="1"/>
  <c r="I67" i="2"/>
  <c r="N67" i="2" s="1"/>
  <c r="I68" i="2"/>
  <c r="N68" i="2" s="1"/>
  <c r="I69" i="2"/>
  <c r="N69" i="2" s="1"/>
  <c r="I71" i="2"/>
  <c r="N71" i="2" s="1"/>
  <c r="I72" i="2"/>
  <c r="N72" i="2" s="1"/>
  <c r="I73" i="2"/>
  <c r="N73" i="2" s="1"/>
  <c r="I74" i="2"/>
  <c r="N74" i="2" s="1"/>
  <c r="I75" i="2"/>
  <c r="N75" i="2" s="1"/>
  <c r="I76" i="2"/>
  <c r="N76" i="2" s="1"/>
  <c r="I77" i="2"/>
  <c r="N77" i="2" s="1"/>
  <c r="I78" i="2"/>
  <c r="N78" i="2" s="1"/>
  <c r="I79" i="2"/>
  <c r="N79" i="2" s="1"/>
  <c r="I80" i="2"/>
  <c r="N80" i="2" s="1"/>
  <c r="I81" i="2"/>
  <c r="N81" i="2" s="1"/>
  <c r="I82" i="2"/>
  <c r="N82" i="2" s="1"/>
  <c r="I83" i="2"/>
  <c r="N83" i="2" s="1"/>
  <c r="I84" i="2"/>
  <c r="N84" i="2" s="1"/>
  <c r="I85" i="2"/>
  <c r="N85" i="2" s="1"/>
  <c r="I86" i="2"/>
  <c r="N86" i="2" s="1"/>
  <c r="I87" i="2"/>
  <c r="N87" i="2" s="1"/>
  <c r="I88" i="2"/>
  <c r="N88" i="2" s="1"/>
  <c r="I89" i="2"/>
  <c r="N89" i="2" s="1"/>
  <c r="I90" i="2"/>
  <c r="N90" i="2" s="1"/>
  <c r="I91" i="2"/>
  <c r="N91" i="2" s="1"/>
  <c r="I92" i="2"/>
  <c r="N92" i="2" s="1"/>
  <c r="I93" i="2"/>
  <c r="N93" i="2" s="1"/>
  <c r="I95" i="2"/>
  <c r="N95" i="2" s="1"/>
  <c r="I96" i="2"/>
  <c r="N96" i="2" s="1"/>
  <c r="I97" i="2"/>
  <c r="N97" i="2" s="1"/>
  <c r="I98" i="2"/>
  <c r="N98" i="2" s="1"/>
  <c r="I99" i="2"/>
  <c r="N99" i="2" s="1"/>
  <c r="I100" i="2"/>
  <c r="N100" i="2" s="1"/>
  <c r="I101" i="2"/>
  <c r="N101" i="2" s="1"/>
  <c r="I102" i="2"/>
  <c r="N102" i="2" s="1"/>
  <c r="I103" i="2"/>
  <c r="N103" i="2" s="1"/>
  <c r="I104" i="2"/>
  <c r="N104" i="2" s="1"/>
  <c r="I105" i="2"/>
  <c r="N105" i="2" s="1"/>
  <c r="I106" i="2"/>
  <c r="N106" i="2" s="1"/>
  <c r="I107" i="2"/>
  <c r="N107" i="2" s="1"/>
  <c r="I108" i="2"/>
  <c r="N108" i="2" s="1"/>
  <c r="I109" i="2"/>
  <c r="N109" i="2" s="1"/>
  <c r="I110" i="2"/>
  <c r="N110" i="2" s="1"/>
  <c r="I111" i="2"/>
  <c r="N111" i="2" s="1"/>
  <c r="I112" i="2"/>
  <c r="N112" i="2" s="1"/>
  <c r="I113" i="2"/>
  <c r="N113" i="2" s="1"/>
  <c r="I114" i="2"/>
  <c r="N114" i="2" s="1"/>
  <c r="I115" i="2"/>
  <c r="N115" i="2" s="1"/>
  <c r="I116" i="2"/>
  <c r="N116" i="2" s="1"/>
  <c r="I117" i="2"/>
  <c r="N117" i="2" s="1"/>
  <c r="I118" i="2"/>
  <c r="N118" i="2" s="1"/>
  <c r="I119" i="2"/>
  <c r="N119" i="2" s="1"/>
  <c r="I120" i="2"/>
  <c r="N120" i="2" s="1"/>
  <c r="I121" i="2"/>
  <c r="N121" i="2" s="1"/>
  <c r="I122" i="2"/>
  <c r="N122" i="2" s="1"/>
  <c r="G5" i="2"/>
  <c r="M5" i="2" s="1"/>
  <c r="G6" i="2"/>
  <c r="M6" i="2" s="1"/>
  <c r="G7" i="2"/>
  <c r="M7" i="2" s="1"/>
  <c r="G8" i="2"/>
  <c r="M8" i="2" s="1"/>
  <c r="G9" i="2"/>
  <c r="M9" i="2" s="1"/>
  <c r="G10" i="2"/>
  <c r="M10" i="2" s="1"/>
  <c r="G11" i="2"/>
  <c r="M11" i="2" s="1"/>
  <c r="G12" i="2"/>
  <c r="M12" i="2" s="1"/>
  <c r="G13" i="2"/>
  <c r="M13" i="2" s="1"/>
  <c r="G14" i="2"/>
  <c r="M14" i="2" s="1"/>
  <c r="G15" i="2"/>
  <c r="M15" i="2" s="1"/>
  <c r="G16" i="2"/>
  <c r="M16" i="2" s="1"/>
  <c r="G17" i="2"/>
  <c r="M17" i="2" s="1"/>
  <c r="G18" i="2"/>
  <c r="M18" i="2" s="1"/>
  <c r="G19" i="2"/>
  <c r="M19" i="2" s="1"/>
  <c r="G20" i="2"/>
  <c r="M20" i="2" s="1"/>
  <c r="G21" i="2"/>
  <c r="M21" i="2" s="1"/>
  <c r="G22" i="2"/>
  <c r="M22" i="2" s="1"/>
  <c r="G23" i="2"/>
  <c r="M23" i="2" s="1"/>
  <c r="G24" i="2"/>
  <c r="M24" i="2" s="1"/>
  <c r="G25" i="2"/>
  <c r="M25" i="2" s="1"/>
  <c r="G26" i="2"/>
  <c r="M26" i="2" s="1"/>
  <c r="G27" i="2"/>
  <c r="M27" i="2" s="1"/>
  <c r="G28" i="2"/>
  <c r="M28" i="2" s="1"/>
  <c r="G29" i="2"/>
  <c r="M29" i="2" s="1"/>
  <c r="G30" i="2"/>
  <c r="M30" i="2" s="1"/>
  <c r="G31" i="2"/>
  <c r="M31" i="2" s="1"/>
  <c r="G32" i="2"/>
  <c r="M32" i="2" s="1"/>
  <c r="G33" i="2"/>
  <c r="M33" i="2" s="1"/>
  <c r="G34" i="2"/>
  <c r="M34" i="2" s="1"/>
  <c r="G35" i="2"/>
  <c r="M35" i="2" s="1"/>
  <c r="G36" i="2"/>
  <c r="M36" i="2" s="1"/>
  <c r="G37" i="2"/>
  <c r="M37" i="2" s="1"/>
  <c r="G38" i="2"/>
  <c r="M38" i="2" s="1"/>
  <c r="G39" i="2"/>
  <c r="M39" i="2" s="1"/>
  <c r="G40" i="2"/>
  <c r="M40" i="2" s="1"/>
  <c r="G41" i="2"/>
  <c r="M41" i="2" s="1"/>
  <c r="G42" i="2"/>
  <c r="M42" i="2" s="1"/>
  <c r="G43" i="2"/>
  <c r="M43" i="2" s="1"/>
  <c r="G44" i="2"/>
  <c r="M44" i="2" s="1"/>
  <c r="G45" i="2"/>
  <c r="M45" i="2" s="1"/>
  <c r="G46" i="2"/>
  <c r="M46" i="2" s="1"/>
  <c r="G47" i="2"/>
  <c r="M47" i="2" s="1"/>
  <c r="G48" i="2"/>
  <c r="M48" i="2" s="1"/>
  <c r="G49" i="2"/>
  <c r="M49" i="2" s="1"/>
  <c r="G50" i="2"/>
  <c r="M50" i="2" s="1"/>
  <c r="G51" i="2"/>
  <c r="M51" i="2" s="1"/>
  <c r="G52" i="2"/>
  <c r="M52" i="2" s="1"/>
  <c r="G53" i="2"/>
  <c r="M53" i="2" s="1"/>
  <c r="G54" i="2"/>
  <c r="M54" i="2" s="1"/>
  <c r="G55" i="2"/>
  <c r="M55" i="2" s="1"/>
  <c r="G56" i="2"/>
  <c r="M56" i="2" s="1"/>
  <c r="G57" i="2"/>
  <c r="M57" i="2" s="1"/>
  <c r="G58" i="2"/>
  <c r="M58" i="2" s="1"/>
  <c r="G59" i="2"/>
  <c r="M59" i="2" s="1"/>
  <c r="G60" i="2"/>
  <c r="M60" i="2" s="1"/>
  <c r="G61" i="2"/>
  <c r="M61" i="2" s="1"/>
  <c r="G62" i="2"/>
  <c r="M62" i="2" s="1"/>
  <c r="G63" i="2"/>
  <c r="M63" i="2" s="1"/>
  <c r="G64" i="2"/>
  <c r="M64" i="2" s="1"/>
  <c r="G65" i="2"/>
  <c r="M65" i="2" s="1"/>
  <c r="G66" i="2"/>
  <c r="M66" i="2" s="1"/>
  <c r="G67" i="2"/>
  <c r="M67" i="2" s="1"/>
  <c r="G68" i="2"/>
  <c r="M68" i="2" s="1"/>
  <c r="G69" i="2"/>
  <c r="M69" i="2" s="1"/>
  <c r="G70" i="2"/>
  <c r="M70" i="2" s="1"/>
  <c r="G71" i="2"/>
  <c r="M71" i="2" s="1"/>
  <c r="G72" i="2"/>
  <c r="M72" i="2" s="1"/>
  <c r="G73" i="2"/>
  <c r="M73" i="2" s="1"/>
  <c r="G74" i="2"/>
  <c r="M74" i="2" s="1"/>
  <c r="G75" i="2"/>
  <c r="M75" i="2" s="1"/>
  <c r="G76" i="2"/>
  <c r="M76" i="2" s="1"/>
  <c r="G77" i="2"/>
  <c r="M77" i="2" s="1"/>
  <c r="G78" i="2"/>
  <c r="M78" i="2" s="1"/>
  <c r="G79" i="2"/>
  <c r="M79" i="2" s="1"/>
  <c r="G80" i="2"/>
  <c r="M80" i="2" s="1"/>
  <c r="G81" i="2"/>
  <c r="M81" i="2" s="1"/>
  <c r="G82" i="2"/>
  <c r="M82" i="2" s="1"/>
  <c r="G83" i="2"/>
  <c r="M83" i="2" s="1"/>
  <c r="G84" i="2"/>
  <c r="M84" i="2" s="1"/>
  <c r="G85" i="2"/>
  <c r="M85" i="2" s="1"/>
  <c r="G86" i="2"/>
  <c r="M86" i="2" s="1"/>
  <c r="G87" i="2"/>
  <c r="M87" i="2" s="1"/>
  <c r="G88" i="2"/>
  <c r="M88" i="2" s="1"/>
  <c r="G89" i="2"/>
  <c r="M89" i="2" s="1"/>
  <c r="G90" i="2"/>
  <c r="M90" i="2" s="1"/>
  <c r="G91" i="2"/>
  <c r="M91" i="2" s="1"/>
  <c r="G92" i="2"/>
  <c r="M92" i="2" s="1"/>
  <c r="G94" i="2"/>
  <c r="M94" i="2" s="1"/>
  <c r="G95" i="2"/>
  <c r="M95" i="2" s="1"/>
  <c r="G96" i="2"/>
  <c r="M96" i="2" s="1"/>
  <c r="G97" i="2"/>
  <c r="M97" i="2" s="1"/>
  <c r="G98" i="2"/>
  <c r="M98" i="2" s="1"/>
  <c r="G99" i="2"/>
  <c r="M99" i="2" s="1"/>
  <c r="G100" i="2"/>
  <c r="M100" i="2" s="1"/>
  <c r="G101" i="2"/>
  <c r="M101" i="2" s="1"/>
  <c r="G102" i="2"/>
  <c r="M102" i="2" s="1"/>
  <c r="G103" i="2"/>
  <c r="M103" i="2" s="1"/>
  <c r="G104" i="2"/>
  <c r="M104" i="2" s="1"/>
  <c r="G105" i="2"/>
  <c r="M105" i="2" s="1"/>
  <c r="G106" i="2"/>
  <c r="M106" i="2" s="1"/>
  <c r="G107" i="2"/>
  <c r="M107" i="2" s="1"/>
  <c r="G108" i="2"/>
  <c r="M108" i="2" s="1"/>
  <c r="G109" i="2"/>
  <c r="M109" i="2" s="1"/>
  <c r="G110" i="2"/>
  <c r="M110" i="2" s="1"/>
  <c r="G111" i="2"/>
  <c r="M111" i="2" s="1"/>
  <c r="G112" i="2"/>
  <c r="M112" i="2" s="1"/>
  <c r="G113" i="2"/>
  <c r="M113" i="2" s="1"/>
  <c r="G114" i="2"/>
  <c r="M114" i="2" s="1"/>
  <c r="G115" i="2"/>
  <c r="M115" i="2" s="1"/>
  <c r="G116" i="2"/>
  <c r="M116" i="2" s="1"/>
  <c r="G117" i="2"/>
  <c r="M117" i="2" s="1"/>
  <c r="G118" i="2"/>
  <c r="M118" i="2" s="1"/>
  <c r="G119" i="2"/>
  <c r="M119" i="2" s="1"/>
  <c r="G120" i="2"/>
  <c r="M120" i="2" s="1"/>
  <c r="G121" i="2"/>
  <c r="M121" i="2" s="1"/>
  <c r="G122" i="2"/>
  <c r="M122" i="2" s="1"/>
  <c r="E5" i="2"/>
  <c r="L5" i="2" s="1"/>
  <c r="E6" i="2"/>
  <c r="L6" i="2" s="1"/>
  <c r="E7" i="2"/>
  <c r="L7" i="2" s="1"/>
  <c r="E8" i="2"/>
  <c r="L8" i="2" s="1"/>
  <c r="E9" i="2"/>
  <c r="L9" i="2" s="1"/>
  <c r="E10" i="2"/>
  <c r="L10" i="2" s="1"/>
  <c r="E11" i="2"/>
  <c r="L11" i="2" s="1"/>
  <c r="E12" i="2"/>
  <c r="L12" i="2" s="1"/>
  <c r="E13" i="2"/>
  <c r="L13" i="2" s="1"/>
  <c r="E14" i="2"/>
  <c r="L14" i="2" s="1"/>
  <c r="E15" i="2"/>
  <c r="L15" i="2" s="1"/>
  <c r="E16" i="2"/>
  <c r="L16" i="2" s="1"/>
  <c r="E17" i="2"/>
  <c r="L17" i="2" s="1"/>
  <c r="E18" i="2"/>
  <c r="L18" i="2" s="1"/>
  <c r="E19" i="2"/>
  <c r="L19" i="2" s="1"/>
  <c r="E20" i="2"/>
  <c r="L20" i="2" s="1"/>
  <c r="E21" i="2"/>
  <c r="L21" i="2" s="1"/>
  <c r="E22" i="2"/>
  <c r="L22" i="2" s="1"/>
  <c r="E23" i="2"/>
  <c r="L23" i="2" s="1"/>
  <c r="E24" i="2"/>
  <c r="L24" i="2" s="1"/>
  <c r="E25" i="2"/>
  <c r="L25" i="2" s="1"/>
  <c r="E26" i="2"/>
  <c r="L26" i="2" s="1"/>
  <c r="E27" i="2"/>
  <c r="L27" i="2" s="1"/>
  <c r="E28" i="2"/>
  <c r="L28" i="2" s="1"/>
  <c r="E29" i="2"/>
  <c r="L29" i="2" s="1"/>
  <c r="E30" i="2"/>
  <c r="L30" i="2" s="1"/>
  <c r="E31" i="2"/>
  <c r="L31" i="2" s="1"/>
  <c r="E32" i="2"/>
  <c r="L32" i="2" s="1"/>
  <c r="E33" i="2"/>
  <c r="L33" i="2" s="1"/>
  <c r="E34" i="2"/>
  <c r="L34" i="2" s="1"/>
  <c r="E35" i="2"/>
  <c r="L35" i="2" s="1"/>
  <c r="E36" i="2"/>
  <c r="L36" i="2" s="1"/>
  <c r="E37" i="2"/>
  <c r="L37" i="2" s="1"/>
  <c r="E38" i="2"/>
  <c r="L38" i="2" s="1"/>
  <c r="E39" i="2"/>
  <c r="L39" i="2" s="1"/>
  <c r="E40" i="2"/>
  <c r="L40" i="2" s="1"/>
  <c r="E41" i="2"/>
  <c r="L41" i="2" s="1"/>
  <c r="E42" i="2"/>
  <c r="L42" i="2" s="1"/>
  <c r="E43" i="2"/>
  <c r="L43" i="2" s="1"/>
  <c r="E44" i="2"/>
  <c r="L44" i="2" s="1"/>
  <c r="E45" i="2"/>
  <c r="L45" i="2" s="1"/>
  <c r="E46" i="2"/>
  <c r="L46" i="2" s="1"/>
  <c r="E47" i="2"/>
  <c r="L47" i="2" s="1"/>
  <c r="E48" i="2"/>
  <c r="L48" i="2" s="1"/>
  <c r="E49" i="2"/>
  <c r="L49" i="2" s="1"/>
  <c r="E50" i="2"/>
  <c r="L50" i="2" s="1"/>
  <c r="E51" i="2"/>
  <c r="L51" i="2" s="1"/>
  <c r="E52" i="2"/>
  <c r="L52" i="2" s="1"/>
  <c r="E53" i="2"/>
  <c r="L53" i="2" s="1"/>
  <c r="E54" i="2"/>
  <c r="L54" i="2" s="1"/>
  <c r="E55" i="2"/>
  <c r="L55" i="2" s="1"/>
  <c r="E56" i="2"/>
  <c r="L56" i="2" s="1"/>
  <c r="E57" i="2"/>
  <c r="L57" i="2" s="1"/>
  <c r="E58" i="2"/>
  <c r="L58" i="2" s="1"/>
  <c r="E59" i="2"/>
  <c r="L59" i="2" s="1"/>
  <c r="E60" i="2"/>
  <c r="L60" i="2" s="1"/>
  <c r="E61" i="2"/>
  <c r="L61" i="2" s="1"/>
  <c r="E62" i="2"/>
  <c r="L62" i="2" s="1"/>
  <c r="E63" i="2"/>
  <c r="L63" i="2" s="1"/>
  <c r="E64" i="2"/>
  <c r="L64" i="2" s="1"/>
  <c r="E65" i="2"/>
  <c r="L65" i="2" s="1"/>
  <c r="E66" i="2"/>
  <c r="L66" i="2" s="1"/>
  <c r="E67" i="2"/>
  <c r="L67" i="2" s="1"/>
  <c r="E68" i="2"/>
  <c r="L68" i="2" s="1"/>
  <c r="E69" i="2"/>
  <c r="L69" i="2" s="1"/>
  <c r="E70" i="2"/>
  <c r="L70" i="2" s="1"/>
  <c r="E71" i="2"/>
  <c r="L71" i="2" s="1"/>
  <c r="E72" i="2"/>
  <c r="L72" i="2" s="1"/>
  <c r="E73" i="2"/>
  <c r="L73" i="2" s="1"/>
  <c r="E74" i="2"/>
  <c r="L74" i="2" s="1"/>
  <c r="E75" i="2"/>
  <c r="L75" i="2" s="1"/>
  <c r="E76" i="2"/>
  <c r="L76" i="2" s="1"/>
  <c r="E77" i="2"/>
  <c r="L77" i="2" s="1"/>
  <c r="E78" i="2"/>
  <c r="L78" i="2" s="1"/>
  <c r="E79" i="2"/>
  <c r="L79" i="2" s="1"/>
  <c r="E80" i="2"/>
  <c r="L80" i="2" s="1"/>
  <c r="E82" i="2"/>
  <c r="L82" i="2" s="1"/>
  <c r="E83" i="2"/>
  <c r="L83" i="2" s="1"/>
  <c r="E84" i="2"/>
  <c r="L84" i="2" s="1"/>
  <c r="E85" i="2"/>
  <c r="L85" i="2" s="1"/>
  <c r="E86" i="2"/>
  <c r="L86" i="2" s="1"/>
  <c r="E87" i="2"/>
  <c r="L87" i="2" s="1"/>
  <c r="E88" i="2"/>
  <c r="L88" i="2" s="1"/>
  <c r="E89" i="2"/>
  <c r="L89" i="2" s="1"/>
  <c r="E90" i="2"/>
  <c r="L90" i="2" s="1"/>
  <c r="E91" i="2"/>
  <c r="L91" i="2" s="1"/>
  <c r="E92" i="2"/>
  <c r="L92" i="2" s="1"/>
  <c r="E93" i="2"/>
  <c r="L93" i="2" s="1"/>
  <c r="E94" i="2"/>
  <c r="L94" i="2" s="1"/>
  <c r="E95" i="2"/>
  <c r="L95" i="2" s="1"/>
  <c r="E96" i="2"/>
  <c r="L96" i="2" s="1"/>
  <c r="E97" i="2"/>
  <c r="L97" i="2" s="1"/>
  <c r="E98" i="2"/>
  <c r="L98" i="2" s="1"/>
  <c r="E99" i="2"/>
  <c r="L99" i="2" s="1"/>
  <c r="E100" i="2"/>
  <c r="L100" i="2" s="1"/>
  <c r="E101" i="2"/>
  <c r="L101" i="2" s="1"/>
  <c r="E102" i="2"/>
  <c r="L102" i="2" s="1"/>
  <c r="E103" i="2"/>
  <c r="L103" i="2" s="1"/>
  <c r="E104" i="2"/>
  <c r="L104" i="2" s="1"/>
  <c r="E105" i="2"/>
  <c r="L105" i="2" s="1"/>
  <c r="E106" i="2"/>
  <c r="L106" i="2" s="1"/>
  <c r="E107" i="2"/>
  <c r="L107" i="2" s="1"/>
  <c r="E108" i="2"/>
  <c r="L108" i="2" s="1"/>
  <c r="E109" i="2"/>
  <c r="L109" i="2" s="1"/>
  <c r="E110" i="2"/>
  <c r="L110" i="2" s="1"/>
  <c r="E111" i="2"/>
  <c r="L111" i="2" s="1"/>
  <c r="E112" i="2"/>
  <c r="L112" i="2" s="1"/>
  <c r="E113" i="2"/>
  <c r="L113" i="2" s="1"/>
  <c r="E114" i="2"/>
  <c r="L114" i="2" s="1"/>
  <c r="E115" i="2"/>
  <c r="L115" i="2" s="1"/>
  <c r="E117" i="2"/>
  <c r="L117" i="2" s="1"/>
  <c r="E118" i="2"/>
  <c r="L118" i="2" s="1"/>
  <c r="E119" i="2"/>
  <c r="L119" i="2" s="1"/>
  <c r="E120" i="2"/>
  <c r="L120" i="2" s="1"/>
  <c r="E121" i="2"/>
  <c r="L121" i="2" s="1"/>
  <c r="E122" i="2"/>
  <c r="L122" i="2" s="1"/>
  <c r="I4" i="2"/>
  <c r="N4" i="2" s="1"/>
  <c r="G4" i="2"/>
  <c r="M4" i="2" s="1"/>
  <c r="E4" i="2"/>
  <c r="L4" i="2" s="1"/>
  <c r="C5" i="2"/>
  <c r="K5" i="2" s="1"/>
  <c r="C6" i="2"/>
  <c r="K6" i="2" s="1"/>
  <c r="C7" i="2"/>
  <c r="K7" i="2" s="1"/>
  <c r="C8" i="2"/>
  <c r="K8" i="2" s="1"/>
  <c r="C9" i="2"/>
  <c r="K9" i="2" s="1"/>
  <c r="C10" i="2"/>
  <c r="K10" i="2" s="1"/>
  <c r="C11" i="2"/>
  <c r="K11" i="2" s="1"/>
  <c r="C12" i="2"/>
  <c r="K12" i="2" s="1"/>
  <c r="C13" i="2"/>
  <c r="K13" i="2" s="1"/>
  <c r="C14" i="2"/>
  <c r="K14" i="2" s="1"/>
  <c r="C15" i="2"/>
  <c r="K15" i="2" s="1"/>
  <c r="C16" i="2"/>
  <c r="K16" i="2" s="1"/>
  <c r="C17" i="2"/>
  <c r="K17" i="2" s="1"/>
  <c r="C18" i="2"/>
  <c r="K18" i="2" s="1"/>
  <c r="C19" i="2"/>
  <c r="K19" i="2" s="1"/>
  <c r="C20" i="2"/>
  <c r="K20" i="2" s="1"/>
  <c r="C21" i="2"/>
  <c r="K21" i="2" s="1"/>
  <c r="C22" i="2"/>
  <c r="K22" i="2" s="1"/>
  <c r="C23" i="2"/>
  <c r="K23" i="2" s="1"/>
  <c r="C24" i="2"/>
  <c r="K24" i="2" s="1"/>
  <c r="C25" i="2"/>
  <c r="K25" i="2" s="1"/>
  <c r="C26" i="2"/>
  <c r="K26" i="2" s="1"/>
  <c r="C27" i="2"/>
  <c r="K27" i="2" s="1"/>
  <c r="C28" i="2"/>
  <c r="K28" i="2" s="1"/>
  <c r="C29" i="2"/>
  <c r="K29" i="2" s="1"/>
  <c r="C30" i="2"/>
  <c r="K30" i="2" s="1"/>
  <c r="C31" i="2"/>
  <c r="K31" i="2" s="1"/>
  <c r="C32" i="2"/>
  <c r="K32" i="2" s="1"/>
  <c r="C33" i="2"/>
  <c r="K33" i="2" s="1"/>
  <c r="C34" i="2"/>
  <c r="K34" i="2" s="1"/>
  <c r="C35" i="2"/>
  <c r="K35" i="2" s="1"/>
  <c r="C36" i="2"/>
  <c r="K36" i="2" s="1"/>
  <c r="C37" i="2"/>
  <c r="K37" i="2" s="1"/>
  <c r="C38" i="2"/>
  <c r="K38" i="2" s="1"/>
  <c r="C39" i="2"/>
  <c r="K39" i="2" s="1"/>
  <c r="C40" i="2"/>
  <c r="K40" i="2" s="1"/>
  <c r="C41" i="2"/>
  <c r="K41" i="2" s="1"/>
  <c r="C42" i="2"/>
  <c r="K42" i="2" s="1"/>
  <c r="C43" i="2"/>
  <c r="K43" i="2" s="1"/>
  <c r="C44" i="2"/>
  <c r="K44" i="2" s="1"/>
  <c r="C45" i="2"/>
  <c r="K45" i="2" s="1"/>
  <c r="C46" i="2"/>
  <c r="K46" i="2" s="1"/>
  <c r="C47" i="2"/>
  <c r="K47" i="2" s="1"/>
  <c r="C48" i="2"/>
  <c r="K48" i="2" s="1"/>
  <c r="C49" i="2"/>
  <c r="K49" i="2" s="1"/>
  <c r="C50" i="2"/>
  <c r="K50" i="2" s="1"/>
  <c r="C51" i="2"/>
  <c r="K51" i="2" s="1"/>
  <c r="C52" i="2"/>
  <c r="K52" i="2" s="1"/>
  <c r="C53" i="2"/>
  <c r="K53" i="2" s="1"/>
  <c r="C54" i="2"/>
  <c r="K54" i="2" s="1"/>
  <c r="C55" i="2"/>
  <c r="K55" i="2" s="1"/>
  <c r="C56" i="2"/>
  <c r="K56" i="2" s="1"/>
  <c r="C57" i="2"/>
  <c r="K57" i="2" s="1"/>
  <c r="C58" i="2"/>
  <c r="K58" i="2" s="1"/>
  <c r="C59" i="2"/>
  <c r="K59" i="2" s="1"/>
  <c r="C60" i="2"/>
  <c r="K60" i="2" s="1"/>
  <c r="C61" i="2"/>
  <c r="K61" i="2" s="1"/>
  <c r="C62" i="2"/>
  <c r="K62" i="2" s="1"/>
  <c r="C63" i="2"/>
  <c r="K63" i="2" s="1"/>
  <c r="C64" i="2"/>
  <c r="K64" i="2" s="1"/>
  <c r="C65" i="2"/>
  <c r="K65" i="2" s="1"/>
  <c r="C66" i="2"/>
  <c r="K66" i="2" s="1"/>
  <c r="C67" i="2"/>
  <c r="K67" i="2" s="1"/>
  <c r="C68" i="2"/>
  <c r="K68" i="2" s="1"/>
  <c r="C69" i="2"/>
  <c r="K69" i="2" s="1"/>
  <c r="C70" i="2"/>
  <c r="K70" i="2" s="1"/>
  <c r="C71" i="2"/>
  <c r="K71" i="2" s="1"/>
  <c r="C72" i="2"/>
  <c r="K72" i="2" s="1"/>
  <c r="C73" i="2"/>
  <c r="K73" i="2" s="1"/>
  <c r="C74" i="2"/>
  <c r="K74" i="2" s="1"/>
  <c r="C75" i="2"/>
  <c r="K75" i="2" s="1"/>
  <c r="C76" i="2"/>
  <c r="K76" i="2" s="1"/>
  <c r="C77" i="2"/>
  <c r="K77" i="2" s="1"/>
  <c r="C78" i="2"/>
  <c r="K78" i="2" s="1"/>
  <c r="C79" i="2"/>
  <c r="K79" i="2" s="1"/>
  <c r="C80" i="2"/>
  <c r="K80" i="2" s="1"/>
  <c r="C81" i="2"/>
  <c r="K81" i="2" s="1"/>
  <c r="C82" i="2"/>
  <c r="K82" i="2" s="1"/>
  <c r="C83" i="2"/>
  <c r="K83" i="2" s="1"/>
  <c r="C84" i="2"/>
  <c r="K84" i="2" s="1"/>
  <c r="C85" i="2"/>
  <c r="K85" i="2" s="1"/>
  <c r="C86" i="2"/>
  <c r="K86" i="2" s="1"/>
  <c r="C87" i="2"/>
  <c r="K87" i="2" s="1"/>
  <c r="C88" i="2"/>
  <c r="K88" i="2" s="1"/>
  <c r="C89" i="2"/>
  <c r="K89" i="2" s="1"/>
  <c r="C90" i="2"/>
  <c r="K90" i="2" s="1"/>
  <c r="C91" i="2"/>
  <c r="K91" i="2" s="1"/>
  <c r="C92" i="2"/>
  <c r="K92" i="2" s="1"/>
  <c r="C93" i="2"/>
  <c r="K93" i="2" s="1"/>
  <c r="C94" i="2"/>
  <c r="K94" i="2" s="1"/>
  <c r="C95" i="2"/>
  <c r="K95" i="2" s="1"/>
  <c r="C96" i="2"/>
  <c r="K96" i="2" s="1"/>
  <c r="C97" i="2"/>
  <c r="K97" i="2" s="1"/>
  <c r="C98" i="2"/>
  <c r="K98" i="2" s="1"/>
  <c r="C99" i="2"/>
  <c r="K99" i="2" s="1"/>
  <c r="C100" i="2"/>
  <c r="K100" i="2" s="1"/>
  <c r="C101" i="2"/>
  <c r="K101" i="2" s="1"/>
  <c r="C102" i="2"/>
  <c r="K102" i="2" s="1"/>
  <c r="C103" i="2"/>
  <c r="K103" i="2" s="1"/>
  <c r="C104" i="2"/>
  <c r="K104" i="2" s="1"/>
  <c r="C105" i="2"/>
  <c r="K105" i="2" s="1"/>
  <c r="C106" i="2"/>
  <c r="K106" i="2" s="1"/>
  <c r="C107" i="2"/>
  <c r="K107" i="2" s="1"/>
  <c r="C108" i="2"/>
  <c r="K108" i="2" s="1"/>
  <c r="C109" i="2"/>
  <c r="K109" i="2" s="1"/>
  <c r="C110" i="2"/>
  <c r="K110" i="2" s="1"/>
  <c r="C111" i="2"/>
  <c r="K111" i="2" s="1"/>
  <c r="C112" i="2"/>
  <c r="K112" i="2" s="1"/>
  <c r="C113" i="2"/>
  <c r="K113" i="2" s="1"/>
  <c r="C114" i="2"/>
  <c r="K114" i="2" s="1"/>
  <c r="C115" i="2"/>
  <c r="K115" i="2" s="1"/>
  <c r="C116" i="2"/>
  <c r="K116" i="2" s="1"/>
  <c r="C117" i="2"/>
  <c r="K117" i="2" s="1"/>
  <c r="C118" i="2"/>
  <c r="K118" i="2" s="1"/>
  <c r="C119" i="2"/>
  <c r="K119" i="2" s="1"/>
  <c r="C120" i="2"/>
  <c r="K120" i="2" s="1"/>
  <c r="C121" i="2"/>
  <c r="K121" i="2" s="1"/>
  <c r="C122" i="2"/>
  <c r="K122" i="2" s="1"/>
  <c r="K32" i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L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L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L27" i="1" s="1"/>
  <c r="J28" i="1"/>
  <c r="K28" i="1" s="1"/>
  <c r="J29" i="1"/>
  <c r="K29" i="1" s="1"/>
  <c r="J30" i="1"/>
  <c r="K30" i="1" s="1"/>
  <c r="J31" i="1"/>
  <c r="K31" i="1" s="1"/>
  <c r="J33" i="1"/>
  <c r="K33" i="1" s="1"/>
  <c r="L33" i="1" s="1"/>
  <c r="J34" i="1"/>
  <c r="K34" i="1" s="1"/>
  <c r="J35" i="1"/>
  <c r="K35" i="1" s="1"/>
  <c r="J36" i="1"/>
  <c r="K36" i="1" s="1"/>
  <c r="L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L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L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L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L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L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L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L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L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L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3" i="1"/>
  <c r="K3" i="1" s="1"/>
  <c r="M33" i="1" l="1"/>
  <c r="T33" i="1"/>
  <c r="M108" i="1"/>
  <c r="T108" i="1"/>
  <c r="M76" i="1"/>
  <c r="T76" i="1"/>
  <c r="M19" i="1"/>
  <c r="T19" i="1"/>
  <c r="M116" i="1"/>
  <c r="T116" i="1"/>
  <c r="M100" i="1"/>
  <c r="T100" i="1"/>
  <c r="M92" i="1"/>
  <c r="T92" i="1"/>
  <c r="M84" i="1"/>
  <c r="T84" i="1"/>
  <c r="M68" i="1"/>
  <c r="T68" i="1"/>
  <c r="M60" i="1"/>
  <c r="T60" i="1"/>
  <c r="M52" i="1"/>
  <c r="T52" i="1"/>
  <c r="M36" i="1"/>
  <c r="T36" i="1"/>
  <c r="M27" i="1"/>
  <c r="T27" i="1"/>
  <c r="M11" i="1"/>
  <c r="T11" i="1"/>
  <c r="L121" i="1"/>
  <c r="L113" i="1"/>
  <c r="L105" i="1"/>
  <c r="L97" i="1"/>
  <c r="L89" i="1"/>
  <c r="L81" i="1"/>
  <c r="L73" i="1"/>
  <c r="L65" i="1"/>
  <c r="L57" i="1"/>
  <c r="L49" i="1"/>
  <c r="L41" i="1"/>
  <c r="L24" i="1"/>
  <c r="L16" i="1"/>
  <c r="L8" i="1"/>
  <c r="L120" i="1"/>
  <c r="L112" i="1"/>
  <c r="L104" i="1"/>
  <c r="L96" i="1"/>
  <c r="L88" i="1"/>
  <c r="L80" i="1"/>
  <c r="L72" i="1"/>
  <c r="L64" i="1"/>
  <c r="L56" i="1"/>
  <c r="L48" i="1"/>
  <c r="L40" i="1"/>
  <c r="L31" i="1"/>
  <c r="L23" i="1"/>
  <c r="L15" i="1"/>
  <c r="L44" i="1"/>
  <c r="L119" i="1"/>
  <c r="L111" i="1"/>
  <c r="L95" i="1"/>
  <c r="L79" i="1"/>
  <c r="L63" i="1"/>
  <c r="L47" i="1"/>
  <c r="L30" i="1"/>
  <c r="L22" i="1"/>
  <c r="L6" i="1"/>
  <c r="L117" i="1"/>
  <c r="L109" i="1"/>
  <c r="L101" i="1"/>
  <c r="L93" i="1"/>
  <c r="L85" i="1"/>
  <c r="L77" i="1"/>
  <c r="L69" i="1"/>
  <c r="L61" i="1"/>
  <c r="L53" i="1"/>
  <c r="L45" i="1"/>
  <c r="L37" i="1"/>
  <c r="L28" i="1"/>
  <c r="L20" i="1"/>
  <c r="L12" i="1"/>
  <c r="L103" i="1"/>
  <c r="L87" i="1"/>
  <c r="L71" i="1"/>
  <c r="L55" i="1"/>
  <c r="L29" i="1"/>
  <c r="L21" i="1"/>
  <c r="L13" i="1"/>
  <c r="L5" i="1"/>
  <c r="L39" i="1"/>
  <c r="L122" i="1"/>
  <c r="L114" i="1"/>
  <c r="L106" i="1"/>
  <c r="L98" i="1"/>
  <c r="L90" i="1"/>
  <c r="L82" i="1"/>
  <c r="L74" i="1"/>
  <c r="L66" i="1"/>
  <c r="L58" i="1"/>
  <c r="L50" i="1"/>
  <c r="L42" i="1"/>
  <c r="L34" i="1"/>
  <c r="L9" i="1"/>
  <c r="L10" i="1"/>
  <c r="L25" i="1"/>
  <c r="L17" i="1"/>
  <c r="L4" i="1"/>
  <c r="L14" i="1"/>
  <c r="L115" i="1"/>
  <c r="L107" i="1"/>
  <c r="L99" i="1"/>
  <c r="L91" i="1"/>
  <c r="L83" i="1"/>
  <c r="L75" i="1"/>
  <c r="L67" i="1"/>
  <c r="L59" i="1"/>
  <c r="L51" i="1"/>
  <c r="L43" i="1"/>
  <c r="L35" i="1"/>
  <c r="L26" i="1"/>
  <c r="L18" i="1"/>
  <c r="L7" i="1"/>
  <c r="L118" i="1"/>
  <c r="L94" i="1"/>
  <c r="L70" i="1"/>
  <c r="L54" i="1"/>
  <c r="L32" i="1"/>
  <c r="L110" i="1"/>
  <c r="L78" i="1"/>
  <c r="L46" i="1"/>
  <c r="L102" i="1"/>
  <c r="L86" i="1"/>
  <c r="L62" i="1"/>
  <c r="L38" i="1"/>
  <c r="P4" i="2"/>
  <c r="P120" i="2"/>
  <c r="P112" i="2"/>
  <c r="P96" i="2"/>
  <c r="P64" i="2"/>
  <c r="P40" i="2"/>
  <c r="P55" i="2"/>
  <c r="P31" i="2"/>
  <c r="P24" i="2"/>
  <c r="P72" i="2"/>
  <c r="P8" i="2"/>
  <c r="P73" i="2"/>
  <c r="P102" i="2"/>
  <c r="P94" i="2"/>
  <c r="P70" i="2"/>
  <c r="P62" i="2"/>
  <c r="P46" i="2"/>
  <c r="P38" i="2"/>
  <c r="P30" i="2"/>
  <c r="P22" i="2"/>
  <c r="P6" i="2"/>
  <c r="P104" i="2"/>
  <c r="P114" i="2"/>
  <c r="P86" i="2"/>
  <c r="P122" i="2"/>
  <c r="P98" i="2"/>
  <c r="P90" i="2"/>
  <c r="P58" i="2"/>
  <c r="P34" i="2"/>
  <c r="P41" i="2"/>
  <c r="P9" i="2"/>
  <c r="P88" i="2"/>
  <c r="P32" i="2"/>
  <c r="P81" i="2"/>
  <c r="P56" i="2"/>
  <c r="P121" i="2"/>
  <c r="P57" i="2"/>
  <c r="P80" i="2"/>
  <c r="P16" i="2"/>
  <c r="P17" i="2"/>
  <c r="P48" i="2"/>
  <c r="P93" i="2"/>
  <c r="P28" i="2"/>
  <c r="P110" i="2"/>
  <c r="P60" i="2"/>
  <c r="P113" i="2"/>
  <c r="P105" i="2"/>
  <c r="P97" i="2"/>
  <c r="P89" i="2"/>
  <c r="P65" i="2"/>
  <c r="P49" i="2"/>
  <c r="P33" i="2"/>
  <c r="P25" i="2"/>
  <c r="P106" i="2"/>
  <c r="P50" i="2"/>
  <c r="P18" i="2"/>
  <c r="P119" i="2"/>
  <c r="P78" i="2"/>
  <c r="P118" i="2"/>
  <c r="P95" i="2"/>
  <c r="P54" i="2"/>
  <c r="P71" i="2"/>
  <c r="P7" i="2"/>
  <c r="P111" i="2"/>
  <c r="P47" i="2"/>
  <c r="P74" i="2"/>
  <c r="P26" i="2"/>
  <c r="P87" i="2"/>
  <c r="P23" i="2"/>
  <c r="P82" i="2"/>
  <c r="P42" i="2"/>
  <c r="P117" i="2"/>
  <c r="P109" i="2"/>
  <c r="P101" i="2"/>
  <c r="P85" i="2"/>
  <c r="P77" i="2"/>
  <c r="P69" i="2"/>
  <c r="P61" i="2"/>
  <c r="P53" i="2"/>
  <c r="P45" i="2"/>
  <c r="P37" i="2"/>
  <c r="P29" i="2"/>
  <c r="P21" i="2"/>
  <c r="P13" i="2"/>
  <c r="P5" i="2"/>
  <c r="P63" i="2"/>
  <c r="P14" i="2"/>
  <c r="P116" i="2"/>
  <c r="P108" i="2"/>
  <c r="P100" i="2"/>
  <c r="P92" i="2"/>
  <c r="P84" i="2"/>
  <c r="P76" i="2"/>
  <c r="P68" i="2"/>
  <c r="P52" i="2"/>
  <c r="P44" i="2"/>
  <c r="P36" i="2"/>
  <c r="P20" i="2"/>
  <c r="P12" i="2"/>
  <c r="P103" i="2"/>
  <c r="P39" i="2"/>
  <c r="P66" i="2"/>
  <c r="P10" i="2"/>
  <c r="P115" i="2"/>
  <c r="P107" i="2"/>
  <c r="P99" i="2"/>
  <c r="P91" i="2"/>
  <c r="P83" i="2"/>
  <c r="P75" i="2"/>
  <c r="P67" i="2"/>
  <c r="P59" i="2"/>
  <c r="P51" i="2"/>
  <c r="P43" i="2"/>
  <c r="P35" i="2"/>
  <c r="P27" i="2"/>
  <c r="P19" i="2"/>
  <c r="P11" i="2"/>
  <c r="P79" i="2"/>
  <c r="P15" i="2"/>
  <c r="AJ20" i="2" l="1"/>
  <c r="M78" i="1"/>
  <c r="T78" i="1"/>
  <c r="M18" i="1"/>
  <c r="T18" i="1"/>
  <c r="M83" i="1"/>
  <c r="T83" i="1"/>
  <c r="M25" i="1"/>
  <c r="T25" i="1"/>
  <c r="M74" i="1"/>
  <c r="T74" i="1"/>
  <c r="M5" i="1"/>
  <c r="T5" i="1"/>
  <c r="M12" i="1"/>
  <c r="T12" i="1"/>
  <c r="M77" i="1"/>
  <c r="T77" i="1"/>
  <c r="M30" i="1"/>
  <c r="T30" i="1"/>
  <c r="M15" i="1"/>
  <c r="T15" i="1"/>
  <c r="M80" i="1"/>
  <c r="T80" i="1"/>
  <c r="M24" i="1"/>
  <c r="T24" i="1"/>
  <c r="M97" i="1"/>
  <c r="T97" i="1"/>
  <c r="U36" i="1"/>
  <c r="X36" i="1"/>
  <c r="U84" i="1"/>
  <c r="X84" i="1"/>
  <c r="U19" i="1"/>
  <c r="X19" i="1"/>
  <c r="M21" i="1"/>
  <c r="T21" i="1"/>
  <c r="M96" i="1"/>
  <c r="T96" i="1"/>
  <c r="M49" i="1"/>
  <c r="T49" i="1"/>
  <c r="M113" i="1"/>
  <c r="T113" i="1"/>
  <c r="U52" i="1"/>
  <c r="X52" i="1"/>
  <c r="U92" i="1"/>
  <c r="X92" i="1"/>
  <c r="U76" i="1"/>
  <c r="X76" i="1"/>
  <c r="M115" i="1"/>
  <c r="T115" i="1"/>
  <c r="U60" i="1"/>
  <c r="X60" i="1"/>
  <c r="U108" i="1"/>
  <c r="X108" i="1"/>
  <c r="M110" i="1"/>
  <c r="T110" i="1"/>
  <c r="M10" i="1"/>
  <c r="T10" i="1"/>
  <c r="M20" i="1"/>
  <c r="T20" i="1"/>
  <c r="M47" i="1"/>
  <c r="T47" i="1"/>
  <c r="M32" i="1"/>
  <c r="T32" i="1"/>
  <c r="M9" i="1"/>
  <c r="T9" i="1"/>
  <c r="M63" i="1"/>
  <c r="T63" i="1"/>
  <c r="M107" i="1"/>
  <c r="T107" i="1"/>
  <c r="M29" i="1"/>
  <c r="T29" i="1"/>
  <c r="M79" i="1"/>
  <c r="T79" i="1"/>
  <c r="M62" i="1"/>
  <c r="T62" i="1"/>
  <c r="M42" i="1"/>
  <c r="T42" i="1"/>
  <c r="M55" i="1"/>
  <c r="T55" i="1"/>
  <c r="M112" i="1"/>
  <c r="T112" i="1"/>
  <c r="M86" i="1"/>
  <c r="T86" i="1"/>
  <c r="M59" i="1"/>
  <c r="T59" i="1"/>
  <c r="M14" i="1"/>
  <c r="T14" i="1"/>
  <c r="M50" i="1"/>
  <c r="T50" i="1"/>
  <c r="M114" i="1"/>
  <c r="T114" i="1"/>
  <c r="M71" i="1"/>
  <c r="T71" i="1"/>
  <c r="M53" i="1"/>
  <c r="T53" i="1"/>
  <c r="M117" i="1"/>
  <c r="T117" i="1"/>
  <c r="M111" i="1"/>
  <c r="T111" i="1"/>
  <c r="M56" i="1"/>
  <c r="T56" i="1"/>
  <c r="M120" i="1"/>
  <c r="T120" i="1"/>
  <c r="M73" i="1"/>
  <c r="T73" i="1"/>
  <c r="M26" i="1"/>
  <c r="T26" i="1"/>
  <c r="M13" i="1"/>
  <c r="T13" i="1"/>
  <c r="M23" i="1"/>
  <c r="T23" i="1"/>
  <c r="M35" i="1"/>
  <c r="T35" i="1"/>
  <c r="M90" i="1"/>
  <c r="T90" i="1"/>
  <c r="M28" i="1"/>
  <c r="T28" i="1"/>
  <c r="M93" i="1"/>
  <c r="T93" i="1"/>
  <c r="M34" i="1"/>
  <c r="T34" i="1"/>
  <c r="M51" i="1"/>
  <c r="T51" i="1"/>
  <c r="M106" i="1"/>
  <c r="T106" i="1"/>
  <c r="M45" i="1"/>
  <c r="T45" i="1"/>
  <c r="M109" i="1"/>
  <c r="T109" i="1"/>
  <c r="M48" i="1"/>
  <c r="T48" i="1"/>
  <c r="M65" i="1"/>
  <c r="T65" i="1"/>
  <c r="X11" i="1"/>
  <c r="U11" i="1"/>
  <c r="U100" i="1"/>
  <c r="X100" i="1"/>
  <c r="M94" i="1"/>
  <c r="T94" i="1"/>
  <c r="M102" i="1"/>
  <c r="T102" i="1"/>
  <c r="M118" i="1"/>
  <c r="T118" i="1"/>
  <c r="M67" i="1"/>
  <c r="T67" i="1"/>
  <c r="O4" i="1"/>
  <c r="T4" i="1"/>
  <c r="M58" i="1"/>
  <c r="T58" i="1"/>
  <c r="M122" i="1"/>
  <c r="T122" i="1"/>
  <c r="M87" i="1"/>
  <c r="T87" i="1"/>
  <c r="M61" i="1"/>
  <c r="T61" i="1"/>
  <c r="M6" i="1"/>
  <c r="T6" i="1"/>
  <c r="M119" i="1"/>
  <c r="T119" i="1"/>
  <c r="M64" i="1"/>
  <c r="T64" i="1"/>
  <c r="M8" i="1"/>
  <c r="T8" i="1"/>
  <c r="M81" i="1"/>
  <c r="T81" i="1"/>
  <c r="X27" i="1"/>
  <c r="U27" i="1"/>
  <c r="U68" i="1"/>
  <c r="X68" i="1"/>
  <c r="U116" i="1"/>
  <c r="X116" i="1"/>
  <c r="X33" i="1"/>
  <c r="U33" i="1"/>
  <c r="M91" i="1"/>
  <c r="T91" i="1"/>
  <c r="M82" i="1"/>
  <c r="T82" i="1"/>
  <c r="M85" i="1"/>
  <c r="T85" i="1"/>
  <c r="M88" i="1"/>
  <c r="T88" i="1"/>
  <c r="M41" i="1"/>
  <c r="T41" i="1"/>
  <c r="M105" i="1"/>
  <c r="T105" i="1"/>
  <c r="M99" i="1"/>
  <c r="T99" i="1"/>
  <c r="M31" i="1"/>
  <c r="T31" i="1"/>
  <c r="M38" i="1"/>
  <c r="T38" i="1"/>
  <c r="M54" i="1"/>
  <c r="T54" i="1"/>
  <c r="M43" i="1"/>
  <c r="T43" i="1"/>
  <c r="M98" i="1"/>
  <c r="T98" i="1"/>
  <c r="M37" i="1"/>
  <c r="T37" i="1"/>
  <c r="M101" i="1"/>
  <c r="T101" i="1"/>
  <c r="M40" i="1"/>
  <c r="T40" i="1"/>
  <c r="M104" i="1"/>
  <c r="T104" i="1"/>
  <c r="M57" i="1"/>
  <c r="T57" i="1"/>
  <c r="M121" i="1"/>
  <c r="T121" i="1"/>
  <c r="M70" i="1"/>
  <c r="T70" i="1"/>
  <c r="M95" i="1"/>
  <c r="T95" i="1"/>
  <c r="M46" i="1"/>
  <c r="T46" i="1"/>
  <c r="M7" i="1"/>
  <c r="T7" i="1"/>
  <c r="M75" i="1"/>
  <c r="T75" i="1"/>
  <c r="M17" i="1"/>
  <c r="T17" i="1"/>
  <c r="M66" i="1"/>
  <c r="T66" i="1"/>
  <c r="M39" i="1"/>
  <c r="T39" i="1"/>
  <c r="M103" i="1"/>
  <c r="T103" i="1"/>
  <c r="M69" i="1"/>
  <c r="T69" i="1"/>
  <c r="M22" i="1"/>
  <c r="T22" i="1"/>
  <c r="M44" i="1"/>
  <c r="T44" i="1"/>
  <c r="M72" i="1"/>
  <c r="T72" i="1"/>
  <c r="M16" i="1"/>
  <c r="T16" i="1"/>
  <c r="M89" i="1"/>
  <c r="T89" i="1"/>
  <c r="O5" i="1"/>
  <c r="P4" i="1"/>
  <c r="Q4" i="1" s="1"/>
  <c r="M4" i="1"/>
  <c r="AF20" i="1"/>
  <c r="AF3" i="1"/>
  <c r="AF4" i="1"/>
  <c r="AJ13" i="2"/>
  <c r="AJ12" i="2"/>
  <c r="AE3" i="2" s="1"/>
  <c r="Q11" i="2"/>
  <c r="X11" i="2"/>
  <c r="Q5" i="2"/>
  <c r="X5" i="2"/>
  <c r="Q25" i="2"/>
  <c r="X25" i="2"/>
  <c r="Q64" i="2"/>
  <c r="X64" i="2"/>
  <c r="Q84" i="2"/>
  <c r="X84" i="2"/>
  <c r="Q95" i="2"/>
  <c r="X95" i="2"/>
  <c r="Q22" i="2"/>
  <c r="X22" i="2"/>
  <c r="Q91" i="2"/>
  <c r="X91" i="2"/>
  <c r="Q85" i="2"/>
  <c r="X85" i="2"/>
  <c r="Q28" i="2"/>
  <c r="X28" i="2"/>
  <c r="Q112" i="2"/>
  <c r="X112" i="2"/>
  <c r="Q100" i="2"/>
  <c r="X100" i="2"/>
  <c r="Q78" i="2"/>
  <c r="X78" i="2"/>
  <c r="Q98" i="2"/>
  <c r="X98" i="2"/>
  <c r="Q79" i="2"/>
  <c r="X79" i="2"/>
  <c r="Q67" i="2"/>
  <c r="X67" i="2"/>
  <c r="Q66" i="2"/>
  <c r="X66" i="2"/>
  <c r="Q68" i="2"/>
  <c r="X68" i="2"/>
  <c r="Q63" i="2"/>
  <c r="X63" i="2"/>
  <c r="Q61" i="2"/>
  <c r="X61" i="2"/>
  <c r="Q82" i="2"/>
  <c r="X82" i="2"/>
  <c r="Q71" i="2"/>
  <c r="X71" i="2"/>
  <c r="Q106" i="2"/>
  <c r="X106" i="2"/>
  <c r="Q113" i="2"/>
  <c r="X113" i="2"/>
  <c r="Q80" i="2"/>
  <c r="X80" i="2"/>
  <c r="Q41" i="2"/>
  <c r="X41" i="2"/>
  <c r="Q104" i="2"/>
  <c r="X104" i="2"/>
  <c r="Q94" i="2"/>
  <c r="X94" i="2"/>
  <c r="Q40" i="2"/>
  <c r="X40" i="2"/>
  <c r="Q76" i="2"/>
  <c r="X76" i="2"/>
  <c r="Q54" i="2"/>
  <c r="X54" i="2"/>
  <c r="Q34" i="2"/>
  <c r="X34" i="2"/>
  <c r="Q19" i="2"/>
  <c r="X19" i="2"/>
  <c r="Q13" i="2"/>
  <c r="X13" i="2"/>
  <c r="Q33" i="2"/>
  <c r="X33" i="2"/>
  <c r="Q73" i="2"/>
  <c r="X73" i="2"/>
  <c r="Q12" i="2"/>
  <c r="X12" i="2"/>
  <c r="Q26" i="2"/>
  <c r="X26" i="2"/>
  <c r="Q56" i="2"/>
  <c r="X56" i="2"/>
  <c r="Q8" i="2"/>
  <c r="X8" i="2"/>
  <c r="Q20" i="2"/>
  <c r="X20" i="2"/>
  <c r="Q74" i="2"/>
  <c r="X74" i="2"/>
  <c r="Q81" i="2"/>
  <c r="X81" i="2"/>
  <c r="Q72" i="2"/>
  <c r="X72" i="2"/>
  <c r="Q107" i="2"/>
  <c r="X107" i="2"/>
  <c r="Q36" i="2"/>
  <c r="X36" i="2"/>
  <c r="Q108" i="2"/>
  <c r="X108" i="2"/>
  <c r="Q37" i="2"/>
  <c r="X37" i="2"/>
  <c r="Q109" i="2"/>
  <c r="X109" i="2"/>
  <c r="Q47" i="2"/>
  <c r="X47" i="2"/>
  <c r="Q119" i="2"/>
  <c r="X119" i="2"/>
  <c r="Q89" i="2"/>
  <c r="X89" i="2"/>
  <c r="Q48" i="2"/>
  <c r="X48" i="2"/>
  <c r="Q32" i="2"/>
  <c r="X32" i="2"/>
  <c r="Q122" i="2"/>
  <c r="X122" i="2"/>
  <c r="Q46" i="2"/>
  <c r="X46" i="2"/>
  <c r="Q24" i="2"/>
  <c r="X24" i="2"/>
  <c r="Q4" i="2"/>
  <c r="S4" i="2"/>
  <c r="X4" i="2"/>
  <c r="Q75" i="2"/>
  <c r="X75" i="2"/>
  <c r="Q69" i="2"/>
  <c r="X69" i="2"/>
  <c r="Q57" i="2"/>
  <c r="X57" i="2"/>
  <c r="Q102" i="2"/>
  <c r="X102" i="2"/>
  <c r="Q83" i="2"/>
  <c r="X83" i="2"/>
  <c r="Q77" i="2"/>
  <c r="X77" i="2"/>
  <c r="Q110" i="2"/>
  <c r="X110" i="2"/>
  <c r="Q58" i="2"/>
  <c r="X58" i="2"/>
  <c r="Q27" i="2"/>
  <c r="X27" i="2"/>
  <c r="Q21" i="2"/>
  <c r="X21" i="2"/>
  <c r="Q118" i="2"/>
  <c r="X118" i="2"/>
  <c r="Q90" i="2"/>
  <c r="X90" i="2"/>
  <c r="Q99" i="2"/>
  <c r="X99" i="2"/>
  <c r="Q101" i="2"/>
  <c r="X101" i="2"/>
  <c r="Q93" i="2"/>
  <c r="X93" i="2"/>
  <c r="Q120" i="2"/>
  <c r="X120" i="2"/>
  <c r="Q43" i="2"/>
  <c r="X43" i="2"/>
  <c r="Q51" i="2"/>
  <c r="X51" i="2"/>
  <c r="Q115" i="2"/>
  <c r="X115" i="2"/>
  <c r="Q44" i="2"/>
  <c r="X44" i="2"/>
  <c r="Q116" i="2"/>
  <c r="X116" i="2"/>
  <c r="Q45" i="2"/>
  <c r="X45" i="2"/>
  <c r="Q117" i="2"/>
  <c r="X117" i="2"/>
  <c r="Q111" i="2"/>
  <c r="X111" i="2"/>
  <c r="Q18" i="2"/>
  <c r="X18" i="2"/>
  <c r="Q97" i="2"/>
  <c r="X97" i="2"/>
  <c r="Q17" i="2"/>
  <c r="X17" i="2"/>
  <c r="Q88" i="2"/>
  <c r="X88" i="2"/>
  <c r="Q86" i="2"/>
  <c r="X86" i="2"/>
  <c r="Q62" i="2"/>
  <c r="X62" i="2"/>
  <c r="Q31" i="2"/>
  <c r="X31" i="2"/>
  <c r="Q39" i="2"/>
  <c r="X39" i="2"/>
  <c r="Q23" i="2"/>
  <c r="X23" i="2"/>
  <c r="Q60" i="2"/>
  <c r="X60" i="2"/>
  <c r="Q6" i="2"/>
  <c r="X6" i="2"/>
  <c r="Q103" i="2"/>
  <c r="X103" i="2"/>
  <c r="Q87" i="2"/>
  <c r="X87" i="2"/>
  <c r="Q121" i="2"/>
  <c r="X121" i="2"/>
  <c r="Q96" i="2"/>
  <c r="X96" i="2"/>
  <c r="Q92" i="2"/>
  <c r="X92" i="2"/>
  <c r="Q49" i="2"/>
  <c r="X49" i="2"/>
  <c r="Q30" i="2"/>
  <c r="X30" i="2"/>
  <c r="Q35" i="2"/>
  <c r="X35" i="2"/>
  <c r="Q29" i="2"/>
  <c r="X29" i="2"/>
  <c r="Q65" i="2"/>
  <c r="X65" i="2"/>
  <c r="Q38" i="2"/>
  <c r="X38" i="2"/>
  <c r="Q15" i="2"/>
  <c r="X15" i="2"/>
  <c r="Q59" i="2"/>
  <c r="X59" i="2"/>
  <c r="Q10" i="2"/>
  <c r="X10" i="2"/>
  <c r="Q52" i="2"/>
  <c r="X52" i="2"/>
  <c r="Q14" i="2"/>
  <c r="X14" i="2"/>
  <c r="Q53" i="2"/>
  <c r="X53" i="2"/>
  <c r="Q42" i="2"/>
  <c r="X42" i="2"/>
  <c r="Q7" i="2"/>
  <c r="X7" i="2"/>
  <c r="Q50" i="2"/>
  <c r="X50" i="2"/>
  <c r="Q105" i="2"/>
  <c r="X105" i="2"/>
  <c r="Q16" i="2"/>
  <c r="X16" i="2"/>
  <c r="Q9" i="2"/>
  <c r="X9" i="2"/>
  <c r="Q114" i="2"/>
  <c r="X114" i="2"/>
  <c r="Q70" i="2"/>
  <c r="X70" i="2"/>
  <c r="Q55" i="2"/>
  <c r="X55" i="2"/>
  <c r="AJ4" i="2"/>
  <c r="AJ6" i="2" s="1"/>
  <c r="AJ3" i="2"/>
  <c r="AJ5" i="2" s="1"/>
  <c r="X87" i="1" l="1"/>
  <c r="U87" i="1"/>
  <c r="U34" i="1"/>
  <c r="X34" i="1"/>
  <c r="X117" i="1"/>
  <c r="U117" i="1"/>
  <c r="X79" i="1"/>
  <c r="Z79" i="1" s="1"/>
  <c r="U79" i="1"/>
  <c r="X9" i="1"/>
  <c r="U9" i="1"/>
  <c r="U10" i="1"/>
  <c r="X10" i="1"/>
  <c r="U115" i="1"/>
  <c r="X115" i="1"/>
  <c r="X113" i="1"/>
  <c r="Z113" i="1" s="1"/>
  <c r="U113" i="1"/>
  <c r="U24" i="1"/>
  <c r="X24" i="1"/>
  <c r="X77" i="1"/>
  <c r="U77" i="1"/>
  <c r="X25" i="1"/>
  <c r="U25" i="1"/>
  <c r="U7" i="1"/>
  <c r="X7" i="1"/>
  <c r="X109" i="1"/>
  <c r="U109" i="1"/>
  <c r="X35" i="1"/>
  <c r="U35" i="1"/>
  <c r="U22" i="1"/>
  <c r="X22" i="1"/>
  <c r="X38" i="1"/>
  <c r="U38" i="1"/>
  <c r="X119" i="1"/>
  <c r="U119" i="1"/>
  <c r="X122" i="1"/>
  <c r="U122" i="1"/>
  <c r="X93" i="1"/>
  <c r="U93" i="1"/>
  <c r="X23" i="1"/>
  <c r="U23" i="1"/>
  <c r="U120" i="1"/>
  <c r="X120" i="1"/>
  <c r="X53" i="1"/>
  <c r="U53" i="1"/>
  <c r="X14" i="1"/>
  <c r="U14" i="1"/>
  <c r="X55" i="1"/>
  <c r="U55" i="1"/>
  <c r="X29" i="1"/>
  <c r="U29" i="1"/>
  <c r="U32" i="1"/>
  <c r="X32" i="1"/>
  <c r="X110" i="1"/>
  <c r="U110" i="1"/>
  <c r="X49" i="1"/>
  <c r="U49" i="1"/>
  <c r="U80" i="1"/>
  <c r="X80" i="1"/>
  <c r="U12" i="1"/>
  <c r="X12" i="1"/>
  <c r="U83" i="1"/>
  <c r="X83" i="1"/>
  <c r="Z92" i="1"/>
  <c r="U96" i="1"/>
  <c r="X96" i="1"/>
  <c r="X15" i="1"/>
  <c r="U15" i="1"/>
  <c r="X5" i="1"/>
  <c r="U5" i="1"/>
  <c r="X18" i="1"/>
  <c r="Z18" i="1" s="1"/>
  <c r="U18" i="1"/>
  <c r="U39" i="1"/>
  <c r="X39" i="1"/>
  <c r="X121" i="1"/>
  <c r="U121" i="1"/>
  <c r="X105" i="1"/>
  <c r="U105" i="1"/>
  <c r="X82" i="1"/>
  <c r="Z82" i="1" s="1"/>
  <c r="U82" i="1"/>
  <c r="X67" i="1"/>
  <c r="U67" i="1"/>
  <c r="U112" i="1"/>
  <c r="X112" i="1"/>
  <c r="U66" i="1"/>
  <c r="X66" i="1"/>
  <c r="X37" i="1"/>
  <c r="U37" i="1"/>
  <c r="X91" i="1"/>
  <c r="U91" i="1"/>
  <c r="U118" i="1"/>
  <c r="X118" i="1"/>
  <c r="X17" i="1"/>
  <c r="U17" i="1"/>
  <c r="U104" i="1"/>
  <c r="X104" i="1"/>
  <c r="U31" i="1"/>
  <c r="X31" i="1"/>
  <c r="U88" i="1"/>
  <c r="X88" i="1"/>
  <c r="X81" i="1"/>
  <c r="U81" i="1"/>
  <c r="X58" i="1"/>
  <c r="U58" i="1"/>
  <c r="X65" i="1"/>
  <c r="U65" i="1"/>
  <c r="X13" i="1"/>
  <c r="U13" i="1"/>
  <c r="U71" i="1"/>
  <c r="X71" i="1"/>
  <c r="X47" i="1"/>
  <c r="U47" i="1"/>
  <c r="AF5" i="1"/>
  <c r="Z84" i="1"/>
  <c r="Z68" i="1"/>
  <c r="Z108" i="1"/>
  <c r="Z76" i="1"/>
  <c r="Z27" i="1"/>
  <c r="Z100" i="1"/>
  <c r="Z11" i="1"/>
  <c r="Z60" i="1"/>
  <c r="Z36" i="1"/>
  <c r="Z19" i="1"/>
  <c r="Z33" i="1"/>
  <c r="U54" i="1"/>
  <c r="X54" i="1"/>
  <c r="X50" i="1"/>
  <c r="U50" i="1"/>
  <c r="X89" i="1"/>
  <c r="Z89" i="1" s="1"/>
  <c r="U89" i="1"/>
  <c r="X57" i="1"/>
  <c r="U57" i="1"/>
  <c r="X69" i="1"/>
  <c r="U69" i="1"/>
  <c r="X106" i="1"/>
  <c r="Z106" i="1" s="1"/>
  <c r="U106" i="1"/>
  <c r="U72" i="1"/>
  <c r="X72" i="1"/>
  <c r="X103" i="1"/>
  <c r="U103" i="1"/>
  <c r="X75" i="1"/>
  <c r="U75" i="1"/>
  <c r="U70" i="1"/>
  <c r="X70" i="1"/>
  <c r="U40" i="1"/>
  <c r="X40" i="1"/>
  <c r="Z40" i="1" s="1"/>
  <c r="X43" i="1"/>
  <c r="U43" i="1"/>
  <c r="X99" i="1"/>
  <c r="U99" i="1"/>
  <c r="X85" i="1"/>
  <c r="U85" i="1"/>
  <c r="Z116" i="1"/>
  <c r="X8" i="1"/>
  <c r="Z8" i="1" s="1"/>
  <c r="U8" i="1"/>
  <c r="X61" i="1"/>
  <c r="U61" i="1"/>
  <c r="X4" i="1"/>
  <c r="U4" i="1"/>
  <c r="X94" i="1"/>
  <c r="U94" i="1"/>
  <c r="U48" i="1"/>
  <c r="X48" i="1"/>
  <c r="U51" i="1"/>
  <c r="X51" i="1"/>
  <c r="X90" i="1"/>
  <c r="U90" i="1"/>
  <c r="X26" i="1"/>
  <c r="Z26" i="1" s="1"/>
  <c r="U26" i="1"/>
  <c r="X111" i="1"/>
  <c r="Z111" i="1" s="1"/>
  <c r="U111" i="1"/>
  <c r="X114" i="1"/>
  <c r="U114" i="1"/>
  <c r="U86" i="1"/>
  <c r="X86" i="1"/>
  <c r="X62" i="1"/>
  <c r="Z62" i="1" s="1"/>
  <c r="U62" i="1"/>
  <c r="U63" i="1"/>
  <c r="X63" i="1"/>
  <c r="U20" i="1"/>
  <c r="X20" i="1"/>
  <c r="Z52" i="1"/>
  <c r="X21" i="1"/>
  <c r="Z21" i="1" s="1"/>
  <c r="U21" i="1"/>
  <c r="X97" i="1"/>
  <c r="Z97" i="1" s="1"/>
  <c r="U97" i="1"/>
  <c r="X30" i="1"/>
  <c r="U30" i="1"/>
  <c r="U74" i="1"/>
  <c r="X74" i="1"/>
  <c r="X78" i="1"/>
  <c r="Z78" i="1" s="1"/>
  <c r="U78" i="1"/>
  <c r="U44" i="1"/>
  <c r="X44" i="1"/>
  <c r="X101" i="1"/>
  <c r="U101" i="1"/>
  <c r="U64" i="1"/>
  <c r="X64" i="1"/>
  <c r="Z64" i="1" s="1"/>
  <c r="X73" i="1"/>
  <c r="U73" i="1"/>
  <c r="X46" i="1"/>
  <c r="Z46" i="1" s="1"/>
  <c r="U46" i="1"/>
  <c r="X41" i="1"/>
  <c r="U41" i="1"/>
  <c r="X45" i="1"/>
  <c r="U45" i="1"/>
  <c r="U16" i="1"/>
  <c r="X16" i="1"/>
  <c r="Z16" i="1" s="1"/>
  <c r="U95" i="1"/>
  <c r="X95" i="1"/>
  <c r="U98" i="1"/>
  <c r="X98" i="1"/>
  <c r="U6" i="1"/>
  <c r="X6" i="1"/>
  <c r="Z6" i="1" s="1"/>
  <c r="U102" i="1"/>
  <c r="X102" i="1"/>
  <c r="Z102" i="1" s="1"/>
  <c r="U28" i="1"/>
  <c r="X28" i="1"/>
  <c r="U56" i="1"/>
  <c r="X56" i="1"/>
  <c r="X59" i="1"/>
  <c r="U59" i="1"/>
  <c r="U42" i="1"/>
  <c r="X42" i="1"/>
  <c r="X107" i="1"/>
  <c r="Z107" i="1" s="1"/>
  <c r="U107" i="1"/>
  <c r="AF9" i="1"/>
  <c r="P5" i="1"/>
  <c r="O6" i="1"/>
  <c r="Q5" i="1"/>
  <c r="AF8" i="1"/>
  <c r="Y29" i="2"/>
  <c r="AB29" i="2"/>
  <c r="Y111" i="2"/>
  <c r="AB111" i="2"/>
  <c r="Y90" i="2"/>
  <c r="AB90" i="2"/>
  <c r="Y47" i="2"/>
  <c r="AB47" i="2"/>
  <c r="Y35" i="2"/>
  <c r="AB35" i="2"/>
  <c r="Y17" i="2"/>
  <c r="AB17" i="2"/>
  <c r="Y118" i="2"/>
  <c r="AB118" i="2"/>
  <c r="Y55" i="2"/>
  <c r="AB55" i="2"/>
  <c r="Y16" i="2"/>
  <c r="AB16" i="2"/>
  <c r="Y42" i="2"/>
  <c r="AB42" i="2"/>
  <c r="Y65" i="2"/>
  <c r="AB65" i="2"/>
  <c r="Y49" i="2"/>
  <c r="AB49" i="2"/>
  <c r="Y87" i="2"/>
  <c r="AB87" i="2"/>
  <c r="Y86" i="2"/>
  <c r="AB86" i="2"/>
  <c r="Y18" i="2"/>
  <c r="AB18" i="2"/>
  <c r="Y43" i="2"/>
  <c r="AB43" i="2"/>
  <c r="Y75" i="2"/>
  <c r="AB75" i="2"/>
  <c r="Y122" i="2"/>
  <c r="AB122" i="2"/>
  <c r="Y119" i="2"/>
  <c r="AB119" i="2"/>
  <c r="Y108" i="2"/>
  <c r="AB108" i="2"/>
  <c r="Y81" i="2"/>
  <c r="AB81" i="2"/>
  <c r="Y56" i="2"/>
  <c r="AB56" i="2"/>
  <c r="Y33" i="2"/>
  <c r="AB33" i="2"/>
  <c r="Y54" i="2"/>
  <c r="AB54" i="2"/>
  <c r="Y104" i="2"/>
  <c r="AB104" i="2"/>
  <c r="Y106" i="2"/>
  <c r="AB106" i="2"/>
  <c r="Y63" i="2"/>
  <c r="AB63" i="2"/>
  <c r="Y79" i="2"/>
  <c r="AB79" i="2"/>
  <c r="Y112" i="2"/>
  <c r="AB112" i="2"/>
  <c r="Y22" i="2"/>
  <c r="AB22" i="2"/>
  <c r="Y25" i="2"/>
  <c r="AB25" i="2"/>
  <c r="Y92" i="2"/>
  <c r="AB92" i="2"/>
  <c r="Y4" i="2"/>
  <c r="AB4" i="2"/>
  <c r="Y36" i="2"/>
  <c r="AB36" i="2"/>
  <c r="Y26" i="2"/>
  <c r="AB26" i="2"/>
  <c r="Y13" i="2"/>
  <c r="AB13" i="2"/>
  <c r="Y76" i="2"/>
  <c r="AB76" i="2"/>
  <c r="Y41" i="2"/>
  <c r="AB41" i="2"/>
  <c r="Y71" i="2"/>
  <c r="AB71" i="2"/>
  <c r="Y68" i="2"/>
  <c r="AB68" i="2"/>
  <c r="Y98" i="2"/>
  <c r="AB98" i="2"/>
  <c r="Y28" i="2"/>
  <c r="AB28" i="2"/>
  <c r="Y95" i="2"/>
  <c r="AB95" i="2"/>
  <c r="Y5" i="2"/>
  <c r="AB5" i="2"/>
  <c r="Y66" i="2"/>
  <c r="AB66" i="2"/>
  <c r="Y70" i="2"/>
  <c r="AB70" i="2"/>
  <c r="Y59" i="2"/>
  <c r="AB59" i="2"/>
  <c r="Y88" i="2"/>
  <c r="AB88" i="2"/>
  <c r="Y32" i="2"/>
  <c r="AB32" i="2"/>
  <c r="Y114" i="2"/>
  <c r="AB114" i="2"/>
  <c r="Y14" i="2"/>
  <c r="AB14" i="2"/>
  <c r="Y96" i="2"/>
  <c r="AB96" i="2"/>
  <c r="Y31" i="2"/>
  <c r="AB31" i="2"/>
  <c r="Y117" i="2"/>
  <c r="AB117" i="2"/>
  <c r="Y93" i="2"/>
  <c r="AB93" i="2"/>
  <c r="Y57" i="2"/>
  <c r="AB57" i="2"/>
  <c r="Y20" i="2"/>
  <c r="AB20" i="2"/>
  <c r="Y11" i="2"/>
  <c r="AB11" i="2"/>
  <c r="AJ17" i="2"/>
  <c r="Y9" i="2"/>
  <c r="AB9" i="2"/>
  <c r="Y7" i="2"/>
  <c r="AB7" i="2"/>
  <c r="Y52" i="2"/>
  <c r="AB52" i="2"/>
  <c r="Y38" i="2"/>
  <c r="AB38" i="2"/>
  <c r="Y30" i="2"/>
  <c r="AB30" i="2"/>
  <c r="Y121" i="2"/>
  <c r="AB121" i="2"/>
  <c r="Y60" i="2"/>
  <c r="AB60" i="2"/>
  <c r="Y62" i="2"/>
  <c r="AB62" i="2"/>
  <c r="Y97" i="2"/>
  <c r="AB97" i="2"/>
  <c r="Y45" i="2"/>
  <c r="AB45" i="2"/>
  <c r="Y51" i="2"/>
  <c r="AB51" i="2"/>
  <c r="Y101" i="2"/>
  <c r="AB101" i="2"/>
  <c r="Y21" i="2"/>
  <c r="AB21" i="2"/>
  <c r="Y77" i="2"/>
  <c r="AB77" i="2"/>
  <c r="Y69" i="2"/>
  <c r="AB69" i="2"/>
  <c r="Y105" i="2"/>
  <c r="AB105" i="2"/>
  <c r="Y103" i="2"/>
  <c r="AB103" i="2"/>
  <c r="Y44" i="2"/>
  <c r="AB44" i="2"/>
  <c r="Y58" i="2"/>
  <c r="AB58" i="2"/>
  <c r="Y74" i="2"/>
  <c r="AB74" i="2"/>
  <c r="Y50" i="2"/>
  <c r="AB50" i="2"/>
  <c r="Y15" i="2"/>
  <c r="AB15" i="2"/>
  <c r="Y6" i="2"/>
  <c r="AB6" i="2"/>
  <c r="Y115" i="2"/>
  <c r="AB115" i="2"/>
  <c r="Y110" i="2"/>
  <c r="AB110" i="2"/>
  <c r="Y24" i="2"/>
  <c r="AB24" i="2"/>
  <c r="Y107" i="2"/>
  <c r="AB107" i="2"/>
  <c r="Y19" i="2"/>
  <c r="AB19" i="2"/>
  <c r="Y80" i="2"/>
  <c r="AB80" i="2"/>
  <c r="Y85" i="2"/>
  <c r="AB85" i="2"/>
  <c r="Y46" i="2"/>
  <c r="AB46" i="2"/>
  <c r="Y89" i="2"/>
  <c r="AB89" i="2"/>
  <c r="Y37" i="2"/>
  <c r="AB37" i="2"/>
  <c r="Y72" i="2"/>
  <c r="AB72" i="2"/>
  <c r="Y8" i="2"/>
  <c r="AB8" i="2"/>
  <c r="Y73" i="2"/>
  <c r="AB73" i="2"/>
  <c r="Y34" i="2"/>
  <c r="AB34" i="2"/>
  <c r="Y94" i="2"/>
  <c r="AB94" i="2"/>
  <c r="Y113" i="2"/>
  <c r="AB113" i="2"/>
  <c r="Y61" i="2"/>
  <c r="AB61" i="2"/>
  <c r="Y67" i="2"/>
  <c r="AB67" i="2"/>
  <c r="Y100" i="2"/>
  <c r="AB100" i="2"/>
  <c r="Y91" i="2"/>
  <c r="AB91" i="2"/>
  <c r="Y64" i="2"/>
  <c r="AB64" i="2"/>
  <c r="Y53" i="2"/>
  <c r="AB53" i="2"/>
  <c r="Y39" i="2"/>
  <c r="AB39" i="2"/>
  <c r="Y120" i="2"/>
  <c r="AB120" i="2"/>
  <c r="Y102" i="2"/>
  <c r="AB102" i="2"/>
  <c r="AJ9" i="2"/>
  <c r="AJ10" i="2" s="1"/>
  <c r="Y48" i="2"/>
  <c r="AB48" i="2"/>
  <c r="Y109" i="2"/>
  <c r="AB109" i="2"/>
  <c r="Y12" i="2"/>
  <c r="AB12" i="2"/>
  <c r="Y40" i="2"/>
  <c r="AB40" i="2"/>
  <c r="Y82" i="2"/>
  <c r="AB82" i="2"/>
  <c r="Y78" i="2"/>
  <c r="AB78" i="2"/>
  <c r="Y84" i="2"/>
  <c r="AB84" i="2"/>
  <c r="Y10" i="2"/>
  <c r="AB10" i="2"/>
  <c r="Y23" i="2"/>
  <c r="AB23" i="2"/>
  <c r="Y116" i="2"/>
  <c r="AB116" i="2"/>
  <c r="Y99" i="2"/>
  <c r="AB99" i="2"/>
  <c r="Y27" i="2"/>
  <c r="AB27" i="2"/>
  <c r="Y83" i="2"/>
  <c r="AB83" i="2"/>
  <c r="AF3" i="2"/>
  <c r="AC118" i="2" s="1"/>
  <c r="S5" i="2"/>
  <c r="T4" i="2"/>
  <c r="U4" i="2" s="1"/>
  <c r="AJ8" i="2"/>
  <c r="AJ14" i="2" l="1"/>
  <c r="Z42" i="1"/>
  <c r="Z94" i="1"/>
  <c r="Z95" i="1"/>
  <c r="Z72" i="1"/>
  <c r="Z57" i="1"/>
  <c r="Z32" i="1"/>
  <c r="Z117" i="1"/>
  <c r="Z59" i="1"/>
  <c r="Z99" i="1"/>
  <c r="Z75" i="1"/>
  <c r="Z69" i="1"/>
  <c r="Z54" i="1"/>
  <c r="Z15" i="1"/>
  <c r="Z35" i="1"/>
  <c r="Z77" i="1"/>
  <c r="Z70" i="1"/>
  <c r="Z115" i="1"/>
  <c r="Z73" i="1"/>
  <c r="Z74" i="1"/>
  <c r="Z56" i="1"/>
  <c r="Z39" i="1"/>
  <c r="Z80" i="1"/>
  <c r="Z120" i="1"/>
  <c r="Z24" i="1"/>
  <c r="Z93" i="1"/>
  <c r="Z90" i="1"/>
  <c r="Z30" i="1"/>
  <c r="Z63" i="1"/>
  <c r="AF10" i="1"/>
  <c r="Z65" i="1"/>
  <c r="Z96" i="1"/>
  <c r="Z29" i="1"/>
  <c r="Z119" i="1"/>
  <c r="Z28" i="1"/>
  <c r="Z44" i="1"/>
  <c r="Z48" i="1"/>
  <c r="Z43" i="1"/>
  <c r="Z103" i="1"/>
  <c r="Z13" i="1"/>
  <c r="Z121" i="1"/>
  <c r="Z110" i="1"/>
  <c r="Z14" i="1"/>
  <c r="Z31" i="1"/>
  <c r="Z25" i="1"/>
  <c r="Z91" i="1"/>
  <c r="Z67" i="1"/>
  <c r="Z53" i="1"/>
  <c r="Z122" i="1"/>
  <c r="Z104" i="1"/>
  <c r="Z10" i="1"/>
  <c r="Z34" i="1"/>
  <c r="Z37" i="1"/>
  <c r="Z109" i="1"/>
  <c r="Z47" i="1"/>
  <c r="Z45" i="1"/>
  <c r="Z4" i="1"/>
  <c r="Z71" i="1"/>
  <c r="Z66" i="1"/>
  <c r="Z83" i="1"/>
  <c r="Z49" i="1"/>
  <c r="Z86" i="1"/>
  <c r="Z98" i="1"/>
  <c r="Z20" i="1"/>
  <c r="Z51" i="1"/>
  <c r="Z50" i="1"/>
  <c r="Z81" i="1"/>
  <c r="Z17" i="1"/>
  <c r="Z105" i="1"/>
  <c r="Z5" i="1"/>
  <c r="Z55" i="1"/>
  <c r="Z23" i="1"/>
  <c r="Z38" i="1"/>
  <c r="Z7" i="1"/>
  <c r="Z9" i="1"/>
  <c r="Z87" i="1"/>
  <c r="Z85" i="1"/>
  <c r="Z58" i="1"/>
  <c r="Z41" i="1"/>
  <c r="Z101" i="1"/>
  <c r="Z114" i="1"/>
  <c r="Z61" i="1"/>
  <c r="Z88" i="1"/>
  <c r="Z118" i="1"/>
  <c r="Z112" i="1"/>
  <c r="Z12" i="1"/>
  <c r="Z22" i="1"/>
  <c r="O7" i="1"/>
  <c r="P6" i="1"/>
  <c r="Q6" i="1" s="1"/>
  <c r="AC62" i="2"/>
  <c r="AD62" i="2" s="1"/>
  <c r="AC22" i="2"/>
  <c r="AD22" i="2" s="1"/>
  <c r="AC87" i="2"/>
  <c r="AD87" i="2" s="1"/>
  <c r="AC70" i="2"/>
  <c r="AD70" i="2" s="1"/>
  <c r="AC15" i="2"/>
  <c r="AD15" i="2" s="1"/>
  <c r="AC19" i="2"/>
  <c r="AD19" i="2" s="1"/>
  <c r="AC46" i="2"/>
  <c r="AD46" i="2" s="1"/>
  <c r="AC119" i="2"/>
  <c r="AD119" i="2" s="1"/>
  <c r="AC117" i="2"/>
  <c r="AD117" i="2" s="1"/>
  <c r="AC32" i="2"/>
  <c r="AD32" i="2" s="1"/>
  <c r="AC71" i="2"/>
  <c r="AD71" i="2" s="1"/>
  <c r="AC58" i="2"/>
  <c r="AD58" i="2" s="1"/>
  <c r="AC34" i="2"/>
  <c r="AD34" i="2" s="1"/>
  <c r="AC89" i="2"/>
  <c r="AD89" i="2" s="1"/>
  <c r="AC26" i="2"/>
  <c r="AD26" i="2" s="1"/>
  <c r="AC75" i="2"/>
  <c r="AD75" i="2" s="1"/>
  <c r="AC64" i="2"/>
  <c r="AD64" i="2" s="1"/>
  <c r="AC7" i="2"/>
  <c r="AD7" i="2" s="1"/>
  <c r="AC84" i="2"/>
  <c r="AD84" i="2" s="1"/>
  <c r="AC73" i="2"/>
  <c r="AD73" i="2" s="1"/>
  <c r="AC102" i="2"/>
  <c r="AD102" i="2" s="1"/>
  <c r="AC52" i="2"/>
  <c r="AD52" i="2" s="1"/>
  <c r="AC23" i="2"/>
  <c r="AD23" i="2" s="1"/>
  <c r="AC105" i="2"/>
  <c r="AD105" i="2" s="1"/>
  <c r="AC67" i="2"/>
  <c r="AD67" i="2" s="1"/>
  <c r="AC112" i="2"/>
  <c r="AD112" i="2" s="1"/>
  <c r="AC107" i="2"/>
  <c r="AD107" i="2" s="1"/>
  <c r="AC56" i="2"/>
  <c r="AD56" i="2" s="1"/>
  <c r="AC82" i="2"/>
  <c r="AD82" i="2" s="1"/>
  <c r="AC80" i="2"/>
  <c r="AD80" i="2" s="1"/>
  <c r="AC6" i="2"/>
  <c r="AD6" i="2" s="1"/>
  <c r="AC98" i="2"/>
  <c r="AD98" i="2" s="1"/>
  <c r="AC53" i="2"/>
  <c r="AD53" i="2" s="1"/>
  <c r="AC85" i="2"/>
  <c r="AD85" i="2" s="1"/>
  <c r="AC116" i="2"/>
  <c r="AD116" i="2" s="1"/>
  <c r="AC115" i="2"/>
  <c r="AD115" i="2" s="1"/>
  <c r="AC30" i="2"/>
  <c r="AD30" i="2" s="1"/>
  <c r="AD118" i="2"/>
  <c r="AC114" i="2"/>
  <c r="AD114" i="2" s="1"/>
  <c r="AC20" i="2"/>
  <c r="AD20" i="2" s="1"/>
  <c r="AC88" i="2"/>
  <c r="AD88" i="2" s="1"/>
  <c r="AC93" i="2"/>
  <c r="AD93" i="2" s="1"/>
  <c r="AC68" i="2"/>
  <c r="AD68" i="2" s="1"/>
  <c r="AC21" i="2"/>
  <c r="AD21" i="2" s="1"/>
  <c r="AC61" i="2"/>
  <c r="AD61" i="2" s="1"/>
  <c r="AC13" i="2"/>
  <c r="AD13" i="2" s="1"/>
  <c r="AC12" i="2"/>
  <c r="AD12" i="2" s="1"/>
  <c r="AC106" i="2"/>
  <c r="AD106" i="2" s="1"/>
  <c r="AC9" i="2"/>
  <c r="AD9" i="2" s="1"/>
  <c r="AC50" i="2"/>
  <c r="AD50" i="2" s="1"/>
  <c r="AC122" i="2"/>
  <c r="AD122" i="2" s="1"/>
  <c r="AC77" i="2"/>
  <c r="AD77" i="2" s="1"/>
  <c r="AC35" i="2"/>
  <c r="AD35" i="2" s="1"/>
  <c r="AC66" i="2"/>
  <c r="AD66" i="2" s="1"/>
  <c r="AC41" i="2"/>
  <c r="AD41" i="2" s="1"/>
  <c r="AC54" i="2"/>
  <c r="AD54" i="2" s="1"/>
  <c r="AC120" i="2"/>
  <c r="AD120" i="2" s="1"/>
  <c r="AC43" i="2"/>
  <c r="AD43" i="2" s="1"/>
  <c r="AC103" i="2"/>
  <c r="AD103" i="2" s="1"/>
  <c r="AC81" i="2"/>
  <c r="AD81" i="2" s="1"/>
  <c r="AC14" i="2"/>
  <c r="AD14" i="2" s="1"/>
  <c r="AC4" i="2"/>
  <c r="AD4" i="2" s="1"/>
  <c r="AC10" i="2"/>
  <c r="AD10" i="2" s="1"/>
  <c r="AC16" i="2"/>
  <c r="AD16" i="2" s="1"/>
  <c r="AC48" i="2"/>
  <c r="AD48" i="2" s="1"/>
  <c r="AC90" i="2"/>
  <c r="AD90" i="2" s="1"/>
  <c r="AC42" i="2"/>
  <c r="AD42" i="2" s="1"/>
  <c r="AC40" i="2"/>
  <c r="AD40" i="2" s="1"/>
  <c r="AC27" i="2"/>
  <c r="AD27" i="2" s="1"/>
  <c r="AC44" i="2"/>
  <c r="AD44" i="2" s="1"/>
  <c r="AC57" i="2"/>
  <c r="AD57" i="2" s="1"/>
  <c r="AC60" i="2"/>
  <c r="AD60" i="2" s="1"/>
  <c r="AC72" i="2"/>
  <c r="AD72" i="2" s="1"/>
  <c r="AC29" i="2"/>
  <c r="AD29" i="2" s="1"/>
  <c r="AC100" i="2"/>
  <c r="AD100" i="2" s="1"/>
  <c r="AC59" i="2"/>
  <c r="AD59" i="2" s="1"/>
  <c r="AC49" i="2"/>
  <c r="AD49" i="2" s="1"/>
  <c r="AC86" i="2"/>
  <c r="AD86" i="2" s="1"/>
  <c r="AC51" i="2"/>
  <c r="AD51" i="2" s="1"/>
  <c r="AC31" i="2"/>
  <c r="AD31" i="2" s="1"/>
  <c r="AC111" i="2"/>
  <c r="AD111" i="2" s="1"/>
  <c r="AC83" i="2"/>
  <c r="AD83" i="2" s="1"/>
  <c r="AC38" i="2"/>
  <c r="AD38" i="2" s="1"/>
  <c r="AC28" i="2"/>
  <c r="AD28" i="2" s="1"/>
  <c r="AC76" i="2"/>
  <c r="AD76" i="2" s="1"/>
  <c r="AC24" i="2"/>
  <c r="AD24" i="2" s="1"/>
  <c r="AC94" i="2"/>
  <c r="AD94" i="2" s="1"/>
  <c r="AC78" i="2"/>
  <c r="AD78" i="2" s="1"/>
  <c r="AC108" i="2"/>
  <c r="AD108" i="2" s="1"/>
  <c r="AC45" i="2"/>
  <c r="AD45" i="2" s="1"/>
  <c r="AC74" i="2"/>
  <c r="AD74" i="2" s="1"/>
  <c r="AC17" i="2"/>
  <c r="AD17" i="2" s="1"/>
  <c r="AC63" i="2"/>
  <c r="AD63" i="2" s="1"/>
  <c r="AC104" i="2"/>
  <c r="AD104" i="2" s="1"/>
  <c r="AC25" i="2"/>
  <c r="AD25" i="2" s="1"/>
  <c r="AC91" i="2"/>
  <c r="AD91" i="2" s="1"/>
  <c r="AC5" i="2"/>
  <c r="AD5" i="2" s="1"/>
  <c r="AC8" i="2"/>
  <c r="AD8" i="2" s="1"/>
  <c r="AC37" i="2"/>
  <c r="AD37" i="2" s="1"/>
  <c r="AC47" i="2"/>
  <c r="AD47" i="2" s="1"/>
  <c r="AC69" i="2"/>
  <c r="AD69" i="2" s="1"/>
  <c r="AC55" i="2"/>
  <c r="AD55" i="2" s="1"/>
  <c r="AC33" i="2"/>
  <c r="AD33" i="2" s="1"/>
  <c r="AC36" i="2"/>
  <c r="AD36" i="2" s="1"/>
  <c r="AC109" i="2"/>
  <c r="AD109" i="2" s="1"/>
  <c r="AC79" i="2"/>
  <c r="AD79" i="2" s="1"/>
  <c r="AC39" i="2"/>
  <c r="AD39" i="2" s="1"/>
  <c r="AC121" i="2"/>
  <c r="AD121" i="2" s="1"/>
  <c r="AC92" i="2"/>
  <c r="AD92" i="2" s="1"/>
  <c r="AC95" i="2"/>
  <c r="AD95" i="2" s="1"/>
  <c r="AC65" i="2"/>
  <c r="AD65" i="2" s="1"/>
  <c r="AC96" i="2"/>
  <c r="AD96" i="2" s="1"/>
  <c r="AC97" i="2"/>
  <c r="AD97" i="2" s="1"/>
  <c r="AC101" i="2"/>
  <c r="AD101" i="2" s="1"/>
  <c r="AC18" i="2"/>
  <c r="AD18" i="2" s="1"/>
  <c r="AC99" i="2"/>
  <c r="AD99" i="2" s="1"/>
  <c r="AC11" i="2"/>
  <c r="AD11" i="2" s="1"/>
  <c r="AC110" i="2"/>
  <c r="AD110" i="2" s="1"/>
  <c r="AC113" i="2"/>
  <c r="AD113" i="2" s="1"/>
  <c r="AJ15" i="2"/>
  <c r="S6" i="2"/>
  <c r="T5" i="2"/>
  <c r="U5" i="2" s="1"/>
  <c r="O8" i="1" l="1"/>
  <c r="P7" i="1"/>
  <c r="Q7" i="1" s="1"/>
  <c r="AJ18" i="2"/>
  <c r="AJ19" i="2" s="1"/>
  <c r="AJ16" i="2"/>
  <c r="S7" i="2"/>
  <c r="T6" i="2"/>
  <c r="U6" i="2" s="1"/>
  <c r="O9" i="1" l="1"/>
  <c r="P8" i="1"/>
  <c r="Q8" i="1" s="1"/>
  <c r="S8" i="2"/>
  <c r="T7" i="2"/>
  <c r="U7" i="2" s="1"/>
  <c r="O10" i="1" l="1"/>
  <c r="P9" i="1"/>
  <c r="Q9" i="1" s="1"/>
  <c r="S9" i="2"/>
  <c r="T8" i="2"/>
  <c r="U8" i="2" s="1"/>
  <c r="P10" i="1" l="1"/>
  <c r="Q10" i="1" s="1"/>
  <c r="O11" i="1"/>
  <c r="S10" i="2"/>
  <c r="T9" i="2"/>
  <c r="U9" i="2" s="1"/>
  <c r="O12" i="1" l="1"/>
  <c r="P11" i="1"/>
  <c r="Q11" i="1" s="1"/>
  <c r="S11" i="2"/>
  <c r="T10" i="2"/>
  <c r="U10" i="2" s="1"/>
  <c r="O13" i="1" l="1"/>
  <c r="P12" i="1"/>
  <c r="Q12" i="1" s="1"/>
  <c r="S12" i="2"/>
  <c r="T11" i="2"/>
  <c r="U11" i="2" s="1"/>
  <c r="P13" i="1" l="1"/>
  <c r="O14" i="1"/>
  <c r="Q13" i="1"/>
  <c r="S13" i="2"/>
  <c r="T12" i="2"/>
  <c r="O15" i="1" l="1"/>
  <c r="P14" i="1"/>
  <c r="Q14" i="1"/>
  <c r="T13" i="2"/>
  <c r="U13" i="2" s="1"/>
  <c r="U12" i="2"/>
  <c r="S14" i="2"/>
  <c r="O16" i="1" l="1"/>
  <c r="P15" i="1"/>
  <c r="Q15" i="1" s="1"/>
  <c r="S15" i="2"/>
  <c r="T14" i="2"/>
  <c r="U14" i="2" s="1"/>
  <c r="O17" i="1" l="1"/>
  <c r="P16" i="1"/>
  <c r="Q16" i="1" s="1"/>
  <c r="S16" i="2"/>
  <c r="T15" i="2"/>
  <c r="U15" i="2" s="1"/>
  <c r="O18" i="1" l="1"/>
  <c r="P17" i="1"/>
  <c r="Q17" i="1" s="1"/>
  <c r="S17" i="2"/>
  <c r="T16" i="2"/>
  <c r="U16" i="2" s="1"/>
  <c r="P18" i="1" l="1"/>
  <c r="Q18" i="1" s="1"/>
  <c r="O19" i="1"/>
  <c r="S18" i="2"/>
  <c r="T17" i="2"/>
  <c r="U17" i="2" s="1"/>
  <c r="P19" i="1" l="1"/>
  <c r="Q19" i="1" s="1"/>
  <c r="O20" i="1"/>
  <c r="S19" i="2"/>
  <c r="T18" i="2"/>
  <c r="U18" i="2" s="1"/>
  <c r="O21" i="1" l="1"/>
  <c r="P20" i="1"/>
  <c r="Q20" i="1" s="1"/>
  <c r="S20" i="2"/>
  <c r="T19" i="2"/>
  <c r="U19" i="2" s="1"/>
  <c r="P21" i="1" l="1"/>
  <c r="Q21" i="1"/>
  <c r="O22" i="1"/>
  <c r="S21" i="2"/>
  <c r="T20" i="2"/>
  <c r="U20" i="2" s="1"/>
  <c r="O23" i="1" l="1"/>
  <c r="P22" i="1"/>
  <c r="Q22" i="1" s="1"/>
  <c r="S22" i="2"/>
  <c r="T21" i="2"/>
  <c r="U21" i="2" s="1"/>
  <c r="O24" i="1" l="1"/>
  <c r="P23" i="1"/>
  <c r="Q23" i="1" s="1"/>
  <c r="S23" i="2"/>
  <c r="T22" i="2"/>
  <c r="U22" i="2" s="1"/>
  <c r="O25" i="1" l="1"/>
  <c r="P24" i="1"/>
  <c r="Q24" i="1" s="1"/>
  <c r="S24" i="2"/>
  <c r="T23" i="2"/>
  <c r="U23" i="2" s="1"/>
  <c r="O26" i="1" l="1"/>
  <c r="P25" i="1"/>
  <c r="Q25" i="1" s="1"/>
  <c r="S25" i="2"/>
  <c r="T24" i="2"/>
  <c r="U24" i="2" s="1"/>
  <c r="P26" i="1" l="1"/>
  <c r="Q26" i="1" s="1"/>
  <c r="O27" i="1"/>
  <c r="S26" i="2"/>
  <c r="T25" i="2"/>
  <c r="U25" i="2" s="1"/>
  <c r="O28" i="1" l="1"/>
  <c r="P27" i="1"/>
  <c r="Q27" i="1"/>
  <c r="S27" i="2"/>
  <c r="T26" i="2"/>
  <c r="U26" i="2" s="1"/>
  <c r="O29" i="1" l="1"/>
  <c r="P28" i="1"/>
  <c r="Q28" i="1" s="1"/>
  <c r="S28" i="2"/>
  <c r="T27" i="2"/>
  <c r="U27" i="2" s="1"/>
  <c r="P29" i="1" l="1"/>
  <c r="O30" i="1"/>
  <c r="Q29" i="1"/>
  <c r="S29" i="2"/>
  <c r="T28" i="2"/>
  <c r="U28" i="2" s="1"/>
  <c r="O31" i="1" l="1"/>
  <c r="P30" i="1"/>
  <c r="Q30" i="1"/>
  <c r="S30" i="2"/>
  <c r="T29" i="2"/>
  <c r="U29" i="2" s="1"/>
  <c r="O32" i="1" l="1"/>
  <c r="P31" i="1"/>
  <c r="Q31" i="1" s="1"/>
  <c r="S31" i="2"/>
  <c r="T30" i="2"/>
  <c r="U30" i="2" s="1"/>
  <c r="O33" i="1" l="1"/>
  <c r="P32" i="1"/>
  <c r="Q32" i="1"/>
  <c r="S32" i="2"/>
  <c r="T31" i="2"/>
  <c r="U31" i="2" s="1"/>
  <c r="O34" i="1" l="1"/>
  <c r="P33" i="1"/>
  <c r="Q33" i="1" s="1"/>
  <c r="S33" i="2"/>
  <c r="T32" i="2"/>
  <c r="U32" i="2" s="1"/>
  <c r="P34" i="1" l="1"/>
  <c r="Q34" i="1" s="1"/>
  <c r="O35" i="1"/>
  <c r="S34" i="2"/>
  <c r="T33" i="2"/>
  <c r="U33" i="2" s="1"/>
  <c r="P35" i="1" l="1"/>
  <c r="Q35" i="1" s="1"/>
  <c r="O36" i="1"/>
  <c r="S35" i="2"/>
  <c r="T34" i="2"/>
  <c r="U34" i="2" s="1"/>
  <c r="O37" i="1" l="1"/>
  <c r="P36" i="1"/>
  <c r="Q36" i="1"/>
  <c r="S36" i="2"/>
  <c r="T35" i="2"/>
  <c r="U35" i="2" s="1"/>
  <c r="P37" i="1" l="1"/>
  <c r="Q37" i="1" s="1"/>
  <c r="O38" i="1"/>
  <c r="S37" i="2"/>
  <c r="T36" i="2"/>
  <c r="U36" i="2" s="1"/>
  <c r="O39" i="1" l="1"/>
  <c r="P38" i="1"/>
  <c r="Q38" i="1" s="1"/>
  <c r="S38" i="2"/>
  <c r="T37" i="2"/>
  <c r="U37" i="2" s="1"/>
  <c r="O40" i="1" l="1"/>
  <c r="P39" i="1"/>
  <c r="Q39" i="1" s="1"/>
  <c r="S39" i="2"/>
  <c r="T38" i="2"/>
  <c r="U38" i="2" s="1"/>
  <c r="O41" i="1" l="1"/>
  <c r="P40" i="1"/>
  <c r="Q40" i="1" s="1"/>
  <c r="S40" i="2"/>
  <c r="T39" i="2"/>
  <c r="U39" i="2" s="1"/>
  <c r="O42" i="1" l="1"/>
  <c r="P41" i="1"/>
  <c r="Q41" i="1" s="1"/>
  <c r="S41" i="2"/>
  <c r="T40" i="2"/>
  <c r="U40" i="2" s="1"/>
  <c r="P42" i="1" l="1"/>
  <c r="Q42" i="1" s="1"/>
  <c r="O43" i="1"/>
  <c r="S42" i="2"/>
  <c r="T41" i="2"/>
  <c r="U41" i="2" s="1"/>
  <c r="O44" i="1" l="1"/>
  <c r="P43" i="1"/>
  <c r="Q43" i="1" s="1"/>
  <c r="S43" i="2"/>
  <c r="T42" i="2"/>
  <c r="U42" i="2" s="1"/>
  <c r="P44" i="1" l="1"/>
  <c r="O45" i="1"/>
  <c r="Q44" i="1"/>
  <c r="S44" i="2"/>
  <c r="T43" i="2"/>
  <c r="U43" i="2" s="1"/>
  <c r="P45" i="1" l="1"/>
  <c r="O46" i="1"/>
  <c r="Q45" i="1"/>
  <c r="S45" i="2"/>
  <c r="T44" i="2"/>
  <c r="U44" i="2" s="1"/>
  <c r="O47" i="1" l="1"/>
  <c r="P46" i="1"/>
  <c r="Q46" i="1"/>
  <c r="S46" i="2"/>
  <c r="T45" i="2"/>
  <c r="U45" i="2" s="1"/>
  <c r="O48" i="1" l="1"/>
  <c r="P47" i="1"/>
  <c r="Q47" i="1" s="1"/>
  <c r="S47" i="2"/>
  <c r="T46" i="2"/>
  <c r="U46" i="2" s="1"/>
  <c r="O49" i="1" l="1"/>
  <c r="P48" i="1"/>
  <c r="Q48" i="1" s="1"/>
  <c r="S48" i="2"/>
  <c r="T47" i="2"/>
  <c r="U47" i="2" s="1"/>
  <c r="O50" i="1" l="1"/>
  <c r="P49" i="1"/>
  <c r="Q49" i="1" s="1"/>
  <c r="S49" i="2"/>
  <c r="T48" i="2"/>
  <c r="U48" i="2" s="1"/>
  <c r="P50" i="1" l="1"/>
  <c r="Q50" i="1" s="1"/>
  <c r="O51" i="1"/>
  <c r="S50" i="2"/>
  <c r="T49" i="2"/>
  <c r="U49" i="2" s="1"/>
  <c r="O52" i="1" l="1"/>
  <c r="P51" i="1"/>
  <c r="Q51" i="1" s="1"/>
  <c r="S51" i="2"/>
  <c r="T50" i="2"/>
  <c r="U50" i="2" s="1"/>
  <c r="O53" i="1" l="1"/>
  <c r="P52" i="1"/>
  <c r="Q52" i="1" s="1"/>
  <c r="S52" i="2"/>
  <c r="T51" i="2"/>
  <c r="U51" i="2" s="1"/>
  <c r="P53" i="1" l="1"/>
  <c r="O54" i="1"/>
  <c r="Q53" i="1"/>
  <c r="S53" i="2"/>
  <c r="T52" i="2"/>
  <c r="U52" i="2" s="1"/>
  <c r="O55" i="1" l="1"/>
  <c r="P54" i="1"/>
  <c r="Q54" i="1" s="1"/>
  <c r="S54" i="2"/>
  <c r="T53" i="2"/>
  <c r="U53" i="2" s="1"/>
  <c r="O56" i="1" l="1"/>
  <c r="P55" i="1"/>
  <c r="Q55" i="1" s="1"/>
  <c r="S55" i="2"/>
  <c r="T54" i="2"/>
  <c r="U54" i="2" s="1"/>
  <c r="O57" i="1" l="1"/>
  <c r="P56" i="1"/>
  <c r="Q56" i="1" s="1"/>
  <c r="S56" i="2"/>
  <c r="T55" i="2"/>
  <c r="U55" i="2" s="1"/>
  <c r="O58" i="1" l="1"/>
  <c r="P57" i="1"/>
  <c r="Q57" i="1" s="1"/>
  <c r="S57" i="2"/>
  <c r="T56" i="2"/>
  <c r="U56" i="2" s="1"/>
  <c r="P58" i="1" l="1"/>
  <c r="Q58" i="1" s="1"/>
  <c r="O59" i="1"/>
  <c r="S58" i="2"/>
  <c r="T57" i="2"/>
  <c r="U57" i="2" s="1"/>
  <c r="O60" i="1" l="1"/>
  <c r="P59" i="1"/>
  <c r="Q59" i="1" s="1"/>
  <c r="S59" i="2"/>
  <c r="T58" i="2"/>
  <c r="U58" i="2" s="1"/>
  <c r="O61" i="1" l="1"/>
  <c r="P60" i="1"/>
  <c r="Q60" i="1" s="1"/>
  <c r="S60" i="2"/>
  <c r="T59" i="2"/>
  <c r="U59" i="2" s="1"/>
  <c r="P61" i="1" l="1"/>
  <c r="O62" i="1"/>
  <c r="Q61" i="1"/>
  <c r="S61" i="2"/>
  <c r="T60" i="2"/>
  <c r="U60" i="2" s="1"/>
  <c r="O63" i="1" l="1"/>
  <c r="P62" i="1"/>
  <c r="Q62" i="1" s="1"/>
  <c r="S62" i="2"/>
  <c r="T61" i="2"/>
  <c r="U61" i="2" s="1"/>
  <c r="O64" i="1" l="1"/>
  <c r="P63" i="1"/>
  <c r="Q63" i="1" s="1"/>
  <c r="S63" i="2"/>
  <c r="T62" i="2"/>
  <c r="U62" i="2" s="1"/>
  <c r="P64" i="1" l="1"/>
  <c r="Q64" i="1" s="1"/>
  <c r="O65" i="1"/>
  <c r="S64" i="2"/>
  <c r="T63" i="2"/>
  <c r="U63" i="2" s="1"/>
  <c r="P65" i="1" l="1"/>
  <c r="Q65" i="1"/>
  <c r="O66" i="1"/>
  <c r="S65" i="2"/>
  <c r="T64" i="2"/>
  <c r="U64" i="2" s="1"/>
  <c r="P66" i="1" l="1"/>
  <c r="Q66" i="1" s="1"/>
  <c r="O67" i="1"/>
  <c r="S66" i="2"/>
  <c r="T65" i="2"/>
  <c r="U65" i="2" s="1"/>
  <c r="O68" i="1" l="1"/>
  <c r="P67" i="1"/>
  <c r="Q67" i="1"/>
  <c r="S67" i="2"/>
  <c r="T66" i="2"/>
  <c r="U66" i="2" s="1"/>
  <c r="O69" i="1" l="1"/>
  <c r="P68" i="1"/>
  <c r="Q68" i="1" s="1"/>
  <c r="S68" i="2"/>
  <c r="T67" i="2"/>
  <c r="U67" i="2" s="1"/>
  <c r="P69" i="1" l="1"/>
  <c r="O70" i="1"/>
  <c r="Q69" i="1"/>
  <c r="S69" i="2"/>
  <c r="T68" i="2"/>
  <c r="U68" i="2" s="1"/>
  <c r="O71" i="1" l="1"/>
  <c r="P70" i="1"/>
  <c r="Q70" i="1" s="1"/>
  <c r="S70" i="2"/>
  <c r="T69" i="2"/>
  <c r="U69" i="2" s="1"/>
  <c r="O72" i="1" l="1"/>
  <c r="P71" i="1"/>
  <c r="Q71" i="1" s="1"/>
  <c r="S71" i="2"/>
  <c r="T70" i="2"/>
  <c r="U70" i="2" s="1"/>
  <c r="P72" i="1" l="1"/>
  <c r="Q72" i="1"/>
  <c r="O73" i="1"/>
  <c r="S72" i="2"/>
  <c r="T71" i="2"/>
  <c r="U71" i="2" s="1"/>
  <c r="P73" i="1" l="1"/>
  <c r="O74" i="1"/>
  <c r="Q73" i="1"/>
  <c r="S73" i="2"/>
  <c r="T72" i="2"/>
  <c r="U72" i="2" s="1"/>
  <c r="P74" i="1" l="1"/>
  <c r="Q74" i="1" s="1"/>
  <c r="O75" i="1"/>
  <c r="S74" i="2"/>
  <c r="T73" i="2"/>
  <c r="U73" i="2" s="1"/>
  <c r="O76" i="1" l="1"/>
  <c r="P75" i="1"/>
  <c r="Q75" i="1" s="1"/>
  <c r="S75" i="2"/>
  <c r="T74" i="2"/>
  <c r="U74" i="2" s="1"/>
  <c r="O77" i="1" l="1"/>
  <c r="P76" i="1"/>
  <c r="Q76" i="1" s="1"/>
  <c r="S76" i="2"/>
  <c r="T75" i="2"/>
  <c r="U75" i="2" s="1"/>
  <c r="P77" i="1" l="1"/>
  <c r="O78" i="1"/>
  <c r="Q77" i="1"/>
  <c r="S77" i="2"/>
  <c r="T76" i="2"/>
  <c r="U76" i="2" s="1"/>
  <c r="O79" i="1" l="1"/>
  <c r="P78" i="1"/>
  <c r="Q78" i="1" s="1"/>
  <c r="S78" i="2"/>
  <c r="T77" i="2"/>
  <c r="U77" i="2" s="1"/>
  <c r="O80" i="1" l="1"/>
  <c r="P79" i="1"/>
  <c r="Q79" i="1" s="1"/>
  <c r="S79" i="2"/>
  <c r="T78" i="2"/>
  <c r="U78" i="2" s="1"/>
  <c r="O81" i="1" l="1"/>
  <c r="P80" i="1"/>
  <c r="Q80" i="1" s="1"/>
  <c r="S80" i="2"/>
  <c r="T79" i="2"/>
  <c r="U79" i="2" s="1"/>
  <c r="O82" i="1" l="1"/>
  <c r="P81" i="1"/>
  <c r="Q81" i="1" s="1"/>
  <c r="S81" i="2"/>
  <c r="T80" i="2"/>
  <c r="U80" i="2" s="1"/>
  <c r="P82" i="1" l="1"/>
  <c r="Q82" i="1" s="1"/>
  <c r="O83" i="1"/>
  <c r="S82" i="2"/>
  <c r="T81" i="2"/>
  <c r="U81" i="2" s="1"/>
  <c r="O84" i="1" l="1"/>
  <c r="P83" i="1"/>
  <c r="Q83" i="1" s="1"/>
  <c r="S83" i="2"/>
  <c r="T82" i="2"/>
  <c r="U82" i="2" s="1"/>
  <c r="O85" i="1" l="1"/>
  <c r="P84" i="1"/>
  <c r="Q84" i="1" s="1"/>
  <c r="S84" i="2"/>
  <c r="T83" i="2"/>
  <c r="U83" i="2" s="1"/>
  <c r="P85" i="1" l="1"/>
  <c r="O86" i="1"/>
  <c r="Q85" i="1"/>
  <c r="S85" i="2"/>
  <c r="T84" i="2"/>
  <c r="U84" i="2" s="1"/>
  <c r="O87" i="1" l="1"/>
  <c r="P86" i="1"/>
  <c r="Q86" i="1" s="1"/>
  <c r="S86" i="2"/>
  <c r="T85" i="2"/>
  <c r="U85" i="2" s="1"/>
  <c r="O88" i="1" l="1"/>
  <c r="P87" i="1"/>
  <c r="Q87" i="1" s="1"/>
  <c r="S87" i="2"/>
  <c r="T86" i="2"/>
  <c r="U86" i="2" s="1"/>
  <c r="O89" i="1" l="1"/>
  <c r="P88" i="1"/>
  <c r="Q88" i="1" s="1"/>
  <c r="S88" i="2"/>
  <c r="T87" i="2"/>
  <c r="U87" i="2" s="1"/>
  <c r="P89" i="1" l="1"/>
  <c r="O90" i="1"/>
  <c r="Q89" i="1"/>
  <c r="S89" i="2"/>
  <c r="T88" i="2"/>
  <c r="U88" i="2" s="1"/>
  <c r="P90" i="1" l="1"/>
  <c r="Q90" i="1" s="1"/>
  <c r="O91" i="1"/>
  <c r="S90" i="2"/>
  <c r="T89" i="2"/>
  <c r="U89" i="2" s="1"/>
  <c r="O92" i="1" l="1"/>
  <c r="P91" i="1"/>
  <c r="Q91" i="1" s="1"/>
  <c r="S91" i="2"/>
  <c r="T90" i="2"/>
  <c r="U90" i="2" s="1"/>
  <c r="O93" i="1" l="1"/>
  <c r="P92" i="1"/>
  <c r="Q92" i="1" s="1"/>
  <c r="S92" i="2"/>
  <c r="T91" i="2"/>
  <c r="U91" i="2" s="1"/>
  <c r="P93" i="1" l="1"/>
  <c r="Q93" i="1"/>
  <c r="O94" i="1"/>
  <c r="S93" i="2"/>
  <c r="T92" i="2"/>
  <c r="U92" i="2" s="1"/>
  <c r="O95" i="1" l="1"/>
  <c r="P94" i="1"/>
  <c r="Q94" i="1" s="1"/>
  <c r="S94" i="2"/>
  <c r="T93" i="2"/>
  <c r="U93" i="2" s="1"/>
  <c r="O96" i="1" l="1"/>
  <c r="P95" i="1"/>
  <c r="Q95" i="1" s="1"/>
  <c r="S95" i="2"/>
  <c r="T94" i="2"/>
  <c r="U94" i="2" s="1"/>
  <c r="P96" i="1" l="1"/>
  <c r="O97" i="1"/>
  <c r="Q96" i="1"/>
  <c r="S96" i="2"/>
  <c r="T95" i="2"/>
  <c r="U95" i="2" s="1"/>
  <c r="O98" i="1" l="1"/>
  <c r="P97" i="1"/>
  <c r="Q97" i="1" s="1"/>
  <c r="S97" i="2"/>
  <c r="T96" i="2"/>
  <c r="U96" i="2" s="1"/>
  <c r="P98" i="1" l="1"/>
  <c r="Q98" i="1" s="1"/>
  <c r="O99" i="1"/>
  <c r="S98" i="2"/>
  <c r="T97" i="2"/>
  <c r="U97" i="2" s="1"/>
  <c r="O100" i="1" l="1"/>
  <c r="P99" i="1"/>
  <c r="Q99" i="1" s="1"/>
  <c r="S99" i="2"/>
  <c r="T98" i="2"/>
  <c r="U98" i="2" s="1"/>
  <c r="O101" i="1" l="1"/>
  <c r="P100" i="1"/>
  <c r="Q100" i="1" s="1"/>
  <c r="S100" i="2"/>
  <c r="T99" i="2"/>
  <c r="U99" i="2" s="1"/>
  <c r="P101" i="1" l="1"/>
  <c r="O102" i="1"/>
  <c r="Q101" i="1"/>
  <c r="S101" i="2"/>
  <c r="T100" i="2"/>
  <c r="U100" i="2" s="1"/>
  <c r="O103" i="1" l="1"/>
  <c r="P102" i="1"/>
  <c r="Q102" i="1" s="1"/>
  <c r="S102" i="2"/>
  <c r="T101" i="2"/>
  <c r="U101" i="2" s="1"/>
  <c r="O104" i="1" l="1"/>
  <c r="P103" i="1"/>
  <c r="Q103" i="1" s="1"/>
  <c r="S103" i="2"/>
  <c r="T102" i="2"/>
  <c r="U102" i="2" s="1"/>
  <c r="P104" i="1" l="1"/>
  <c r="Q104" i="1" s="1"/>
  <c r="O105" i="1"/>
  <c r="S104" i="2"/>
  <c r="T103" i="2"/>
  <c r="U103" i="2" s="1"/>
  <c r="O106" i="1" l="1"/>
  <c r="P105" i="1"/>
  <c r="Q105" i="1" s="1"/>
  <c r="S105" i="2"/>
  <c r="T104" i="2"/>
  <c r="U104" i="2" s="1"/>
  <c r="P106" i="1" l="1"/>
  <c r="Q106" i="1" s="1"/>
  <c r="O107" i="1"/>
  <c r="S106" i="2"/>
  <c r="T105" i="2"/>
  <c r="U105" i="2" s="1"/>
  <c r="O108" i="1" l="1"/>
  <c r="P107" i="1"/>
  <c r="Q107" i="1"/>
  <c r="S107" i="2"/>
  <c r="T106" i="2"/>
  <c r="U106" i="2" s="1"/>
  <c r="O109" i="1" l="1"/>
  <c r="P108" i="1"/>
  <c r="Q108" i="1" s="1"/>
  <c r="S108" i="2"/>
  <c r="T107" i="2"/>
  <c r="U107" i="2" s="1"/>
  <c r="P109" i="1" l="1"/>
  <c r="Q109" i="1"/>
  <c r="O110" i="1"/>
  <c r="S109" i="2"/>
  <c r="T108" i="2"/>
  <c r="U108" i="2" s="1"/>
  <c r="O111" i="1" l="1"/>
  <c r="P110" i="1"/>
  <c r="Q110" i="1" s="1"/>
  <c r="S110" i="2"/>
  <c r="T109" i="2"/>
  <c r="U109" i="2" s="1"/>
  <c r="O112" i="1" l="1"/>
  <c r="P111" i="1"/>
  <c r="Q111" i="1" s="1"/>
  <c r="S111" i="2"/>
  <c r="T110" i="2"/>
  <c r="U110" i="2" s="1"/>
  <c r="O113" i="1" l="1"/>
  <c r="P112" i="1"/>
  <c r="Q112" i="1" s="1"/>
  <c r="S112" i="2"/>
  <c r="T111" i="2"/>
  <c r="U111" i="2" s="1"/>
  <c r="O114" i="1" l="1"/>
  <c r="P113" i="1"/>
  <c r="Q113" i="1" s="1"/>
  <c r="S113" i="2"/>
  <c r="T112" i="2"/>
  <c r="U112" i="2" s="1"/>
  <c r="P114" i="1" l="1"/>
  <c r="Q114" i="1" s="1"/>
  <c r="O115" i="1"/>
  <c r="S114" i="2"/>
  <c r="T113" i="2"/>
  <c r="U113" i="2" s="1"/>
  <c r="O116" i="1" l="1"/>
  <c r="P115" i="1"/>
  <c r="Q115" i="1"/>
  <c r="S115" i="2"/>
  <c r="T114" i="2"/>
  <c r="U114" i="2" s="1"/>
  <c r="O117" i="1" l="1"/>
  <c r="P116" i="1"/>
  <c r="Q116" i="1" s="1"/>
  <c r="S116" i="2"/>
  <c r="T115" i="2"/>
  <c r="U115" i="2" s="1"/>
  <c r="P117" i="1" l="1"/>
  <c r="Q117" i="1"/>
  <c r="O118" i="1"/>
  <c r="S117" i="2"/>
  <c r="T116" i="2"/>
  <c r="U116" i="2" s="1"/>
  <c r="O119" i="1" l="1"/>
  <c r="P118" i="1"/>
  <c r="Q118" i="1" s="1"/>
  <c r="S118" i="2"/>
  <c r="T117" i="2"/>
  <c r="U117" i="2" s="1"/>
  <c r="O120" i="1" l="1"/>
  <c r="P119" i="1"/>
  <c r="Q119" i="1" s="1"/>
  <c r="S119" i="2"/>
  <c r="T118" i="2"/>
  <c r="U118" i="2" s="1"/>
  <c r="O121" i="1" l="1"/>
  <c r="P120" i="1"/>
  <c r="Q120" i="1" s="1"/>
  <c r="S120" i="2"/>
  <c r="T119" i="2"/>
  <c r="U119" i="2" s="1"/>
  <c r="O122" i="1" l="1"/>
  <c r="P121" i="1"/>
  <c r="Q121" i="1" s="1"/>
  <c r="S121" i="2"/>
  <c r="T120" i="2"/>
  <c r="U120" i="2" s="1"/>
  <c r="P122" i="1" l="1"/>
  <c r="Q122" i="1" s="1"/>
  <c r="AF11" i="1" s="1"/>
  <c r="S122" i="2"/>
  <c r="T121" i="2"/>
  <c r="U121" i="2" s="1"/>
  <c r="T122" i="2" l="1"/>
  <c r="U122" i="2" s="1"/>
  <c r="AJ11" i="2" s="1"/>
  <c r="AJ30" i="2" s="1"/>
</calcChain>
</file>

<file path=xl/sharedStrings.xml><?xml version="1.0" encoding="utf-8"?>
<sst xmlns="http://schemas.openxmlformats.org/spreadsheetml/2006/main" count="146" uniqueCount="63">
  <si>
    <t>Price</t>
  </si>
  <si>
    <t>No. of Shares</t>
  </si>
  <si>
    <t>Date</t>
  </si>
  <si>
    <t>Microsoft (MSFT)</t>
  </si>
  <si>
    <t>NVIDIA (NVDA)</t>
  </si>
  <si>
    <t>Google (GOOG)</t>
  </si>
  <si>
    <t>Tesla (TSLA)</t>
  </si>
  <si>
    <t>Index</t>
  </si>
  <si>
    <t>Total Market Cap.</t>
  </si>
  <si>
    <t>Returns</t>
  </si>
  <si>
    <t>Microsoft</t>
  </si>
  <si>
    <t>NVIDIA</t>
  </si>
  <si>
    <t>Google</t>
  </si>
  <si>
    <t>Tesla</t>
  </si>
  <si>
    <t>No. of Splits</t>
  </si>
  <si>
    <t>Split Ratio</t>
  </si>
  <si>
    <t>Portfolio Return</t>
  </si>
  <si>
    <t>Average Return</t>
  </si>
  <si>
    <t>St. Dev.</t>
  </si>
  <si>
    <t>Annual Return</t>
  </si>
  <si>
    <t>Annual St. Dev.</t>
  </si>
  <si>
    <t>Risk-Free Ratio</t>
  </si>
  <si>
    <t>Sharpe Ratio</t>
  </si>
  <si>
    <t>Portfolio Statistics</t>
  </si>
  <si>
    <t>Total Splits</t>
  </si>
  <si>
    <t>Return on the S&amp;P 500 Index</t>
  </si>
  <si>
    <t>Negative Returns</t>
  </si>
  <si>
    <t>Portfolio Returns</t>
  </si>
  <si>
    <t>Equity</t>
  </si>
  <si>
    <t>Peaks</t>
  </si>
  <si>
    <t>Valley</t>
  </si>
  <si>
    <t>Relative Return</t>
  </si>
  <si>
    <t>Annual Down Deviation</t>
  </si>
  <si>
    <t>Sortino Ratio</t>
  </si>
  <si>
    <t>Peak-Valley Drawdown</t>
  </si>
  <si>
    <t>Beta</t>
  </si>
  <si>
    <t>Alpha</t>
  </si>
  <si>
    <t>Relative Return (Active Return)</t>
  </si>
  <si>
    <t>Total Proportion</t>
  </si>
  <si>
    <t>Fitted Returns</t>
  </si>
  <si>
    <t>Residual Returns</t>
  </si>
  <si>
    <t>Monthly Alpha</t>
  </si>
  <si>
    <t>Tracking Error</t>
  </si>
  <si>
    <t>Information Ratio</t>
  </si>
  <si>
    <t>Treynor Ratio</t>
  </si>
  <si>
    <t>Idiosyncratic Risk</t>
  </si>
  <si>
    <t>Appraisal Ratio</t>
  </si>
  <si>
    <t>Correlation Matrix</t>
  </si>
  <si>
    <t>MSFT</t>
  </si>
  <si>
    <t>NVDA</t>
  </si>
  <si>
    <t>GOOG</t>
  </si>
  <si>
    <t>TSLA</t>
  </si>
  <si>
    <t>Date of PV Drawdown</t>
  </si>
  <si>
    <t>What are the weights of the optimal portfolio?</t>
  </si>
  <si>
    <t>IBM (IBM)</t>
  </si>
  <si>
    <t>Apple (AAPL)</t>
  </si>
  <si>
    <t>Intel Corp. (INTC)</t>
  </si>
  <si>
    <t>What are the weights of the least volatile portfolio?</t>
  </si>
  <si>
    <t>What are the weights of the portfolio with the smallest drawdown?</t>
  </si>
  <si>
    <t>Average</t>
  </si>
  <si>
    <t>Skewness</t>
  </si>
  <si>
    <t>Index Returns</t>
  </si>
  <si>
    <t>Index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</si>
</sst>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.000"/>
    <numFmt numFmtId="167" formatCode="0.0000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color rgb="FF00000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5">
    <xf numFmtId="0" fontId="0" fillId="0" borderId="0" xfId="0"/>
    <xf numFmtId="164" fontId="0" fillId="0" borderId="2" xfId="1" applyNumberFormat="1" applyFont="1" applyBorder="1"/>
    <xf numFmtId="44" fontId="0" fillId="0" borderId="0" xfId="0" applyNumberFormat="1"/>
    <xf numFmtId="164" fontId="0" fillId="0" borderId="4" xfId="1" applyNumberFormat="1" applyFont="1" applyBorder="1"/>
    <xf numFmtId="14" fontId="0" fillId="0" borderId="1" xfId="0" applyNumberFormat="1" applyBorder="1"/>
    <xf numFmtId="14" fontId="0" fillId="0" borderId="3" xfId="0" applyNumberFormat="1" applyBorder="1"/>
    <xf numFmtId="0" fontId="0" fillId="0" borderId="8" xfId="2" applyNumberFormat="1" applyFont="1" applyBorder="1"/>
    <xf numFmtId="0" fontId="0" fillId="0" borderId="8" xfId="1" applyNumberFormat="1" applyFont="1" applyBorder="1"/>
    <xf numFmtId="0" fontId="0" fillId="0" borderId="15" xfId="2" applyNumberFormat="1" applyFont="1" applyBorder="1"/>
    <xf numFmtId="0" fontId="0" fillId="0" borderId="15" xfId="1" applyNumberFormat="1" applyFont="1" applyBorder="1"/>
    <xf numFmtId="0" fontId="0" fillId="0" borderId="9" xfId="2" applyNumberFormat="1" applyFont="1" applyBorder="1"/>
    <xf numFmtId="0" fontId="0" fillId="0" borderId="16" xfId="2" applyNumberFormat="1" applyFont="1" applyBorder="1"/>
    <xf numFmtId="0" fontId="0" fillId="0" borderId="9" xfId="1" applyNumberFormat="1" applyFont="1" applyBorder="1"/>
    <xf numFmtId="0" fontId="0" fillId="0" borderId="16" xfId="1" applyNumberFormat="1" applyFont="1" applyBorder="1"/>
    <xf numFmtId="2" fontId="0" fillId="0" borderId="15" xfId="2" applyNumberFormat="1" applyFont="1" applyBorder="1"/>
    <xf numFmtId="2" fontId="0" fillId="0" borderId="15" xfId="1" applyNumberFormat="1" applyFont="1" applyBorder="1"/>
    <xf numFmtId="10" fontId="0" fillId="0" borderId="0" xfId="3" applyNumberFormat="1" applyFont="1"/>
    <xf numFmtId="0" fontId="0" fillId="0" borderId="17" xfId="2" applyNumberFormat="1" applyFont="1" applyBorder="1"/>
    <xf numFmtId="0" fontId="0" fillId="0" borderId="18" xfId="2" applyNumberFormat="1" applyFont="1" applyBorder="1"/>
    <xf numFmtId="0" fontId="0" fillId="0" borderId="17" xfId="1" applyNumberFormat="1" applyFont="1" applyBorder="1"/>
    <xf numFmtId="0" fontId="0" fillId="0" borderId="18" xfId="1" applyNumberFormat="1" applyFont="1" applyBorder="1"/>
    <xf numFmtId="0" fontId="0" fillId="2" borderId="13" xfId="0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2" borderId="19" xfId="2" applyNumberFormat="1" applyFont="1" applyFill="1" applyBorder="1"/>
    <xf numFmtId="14" fontId="0" fillId="0" borderId="20" xfId="0" applyNumberFormat="1" applyBorder="1"/>
    <xf numFmtId="44" fontId="0" fillId="0" borderId="21" xfId="2" applyFont="1" applyBorder="1"/>
    <xf numFmtId="164" fontId="0" fillId="0" borderId="22" xfId="1" applyNumberFormat="1" applyFont="1" applyBorder="1"/>
    <xf numFmtId="44" fontId="0" fillId="0" borderId="24" xfId="2" applyFont="1" applyBorder="1"/>
    <xf numFmtId="44" fontId="0" fillId="0" borderId="24" xfId="0" applyNumberFormat="1" applyBorder="1"/>
    <xf numFmtId="0" fontId="2" fillId="4" borderId="28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10" fontId="0" fillId="0" borderId="22" xfId="3" applyNumberFormat="1" applyFont="1" applyBorder="1"/>
    <xf numFmtId="10" fontId="0" fillId="0" borderId="24" xfId="0" applyNumberFormat="1" applyBorder="1"/>
    <xf numFmtId="10" fontId="0" fillId="0" borderId="24" xfId="3" applyNumberFormat="1" applyFont="1" applyBorder="1"/>
    <xf numFmtId="10" fontId="0" fillId="0" borderId="30" xfId="3" applyNumberFormat="1" applyFont="1" applyBorder="1"/>
    <xf numFmtId="10" fontId="0" fillId="0" borderId="30" xfId="0" applyNumberFormat="1" applyBorder="1"/>
    <xf numFmtId="14" fontId="0" fillId="0" borderId="27" xfId="0" applyNumberFormat="1" applyBorder="1"/>
    <xf numFmtId="44" fontId="0" fillId="0" borderId="34" xfId="2" applyFont="1" applyBorder="1"/>
    <xf numFmtId="10" fontId="0" fillId="0" borderId="35" xfId="3" applyNumberFormat="1" applyFont="1" applyBorder="1"/>
    <xf numFmtId="164" fontId="0" fillId="0" borderId="35" xfId="1" applyNumberFormat="1" applyFont="1" applyBorder="1"/>
    <xf numFmtId="44" fontId="0" fillId="0" borderId="30" xfId="2" applyFont="1" applyBorder="1"/>
    <xf numFmtId="44" fontId="0" fillId="0" borderId="30" xfId="0" applyNumberFormat="1" applyBorder="1"/>
    <xf numFmtId="9" fontId="0" fillId="0" borderId="36" xfId="0" applyNumberFormat="1" applyBorder="1"/>
    <xf numFmtId="0" fontId="2" fillId="4" borderId="33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3" xfId="0" applyFont="1" applyBorder="1" applyAlignment="1">
      <alignment vertical="center" wrapText="1"/>
    </xf>
    <xf numFmtId="0" fontId="0" fillId="0" borderId="24" xfId="0" applyBorder="1"/>
    <xf numFmtId="44" fontId="0" fillId="0" borderId="33" xfId="2" applyFont="1" applyBorder="1"/>
    <xf numFmtId="10" fontId="0" fillId="0" borderId="33" xfId="3" applyNumberFormat="1" applyFont="1" applyBorder="1"/>
    <xf numFmtId="44" fontId="0" fillId="0" borderId="38" xfId="2" applyFont="1" applyBorder="1"/>
    <xf numFmtId="44" fontId="0" fillId="0" borderId="22" xfId="2" applyFont="1" applyBorder="1"/>
    <xf numFmtId="44" fontId="0" fillId="0" borderId="35" xfId="2" applyFont="1" applyBorder="1"/>
    <xf numFmtId="10" fontId="0" fillId="0" borderId="22" xfId="0" applyNumberFormat="1" applyBorder="1"/>
    <xf numFmtId="2" fontId="0" fillId="0" borderId="24" xfId="0" applyNumberFormat="1" applyBorder="1"/>
    <xf numFmtId="0" fontId="0" fillId="0" borderId="29" xfId="0" applyBorder="1"/>
    <xf numFmtId="165" fontId="0" fillId="0" borderId="36" xfId="0" applyNumberFormat="1" applyBorder="1"/>
    <xf numFmtId="9" fontId="0" fillId="0" borderId="40" xfId="0" applyNumberFormat="1" applyBorder="1"/>
    <xf numFmtId="0" fontId="3" fillId="0" borderId="24" xfId="0" applyFont="1" applyBorder="1" applyAlignment="1">
      <alignment horizontal="center" wrapText="1"/>
    </xf>
    <xf numFmtId="2" fontId="0" fillId="0" borderId="41" xfId="0" applyNumberFormat="1" applyBorder="1"/>
    <xf numFmtId="165" fontId="0" fillId="0" borderId="0" xfId="0" applyNumberFormat="1"/>
    <xf numFmtId="10" fontId="0" fillId="2" borderId="22" xfId="3" applyNumberFormat="1" applyFont="1" applyFill="1" applyBorder="1"/>
    <xf numFmtId="2" fontId="0" fillId="2" borderId="22" xfId="0" applyNumberFormat="1" applyFill="1" applyBorder="1"/>
    <xf numFmtId="10" fontId="0" fillId="2" borderId="24" xfId="0" applyNumberFormat="1" applyFill="1" applyBorder="1"/>
    <xf numFmtId="0" fontId="0" fillId="0" borderId="40" xfId="0" applyBorder="1"/>
    <xf numFmtId="0" fontId="5" fillId="0" borderId="42" xfId="0" applyFont="1" applyBorder="1" applyAlignment="1">
      <alignment horizontal="center"/>
    </xf>
    <xf numFmtId="166" fontId="0" fillId="0" borderId="40" xfId="0" applyNumberFormat="1" applyBorder="1"/>
    <xf numFmtId="166" fontId="0" fillId="0" borderId="0" xfId="0" applyNumberFormat="1"/>
    <xf numFmtId="0" fontId="0" fillId="4" borderId="0" xfId="0" applyFill="1"/>
    <xf numFmtId="0" fontId="0" fillId="4" borderId="40" xfId="0" applyFill="1" applyBorder="1"/>
    <xf numFmtId="0" fontId="5" fillId="4" borderId="42" xfId="0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/>
    </xf>
    <xf numFmtId="2" fontId="3" fillId="4" borderId="41" xfId="0" applyNumberFormat="1" applyFont="1" applyFill="1" applyBorder="1" applyAlignment="1">
      <alignment horizontal="center"/>
    </xf>
    <xf numFmtId="10" fontId="4" fillId="0" borderId="29" xfId="3" applyNumberFormat="1" applyFont="1" applyBorder="1" applyAlignment="1"/>
    <xf numFmtId="10" fontId="4" fillId="0" borderId="36" xfId="3" applyNumberFormat="1" applyFont="1" applyBorder="1" applyAlignment="1"/>
    <xf numFmtId="10" fontId="4" fillId="0" borderId="43" xfId="3" applyNumberFormat="1" applyFont="1" applyBorder="1" applyAlignment="1"/>
    <xf numFmtId="10" fontId="0" fillId="0" borderId="29" xfId="3" applyNumberFormat="1" applyFont="1" applyBorder="1"/>
    <xf numFmtId="10" fontId="0" fillId="0" borderId="36" xfId="3" applyNumberFormat="1" applyFont="1" applyBorder="1"/>
    <xf numFmtId="10" fontId="0" fillId="0" borderId="43" xfId="3" applyNumberFormat="1" applyFont="1" applyBorder="1"/>
    <xf numFmtId="10" fontId="0" fillId="0" borderId="41" xfId="3" applyNumberFormat="1" applyFont="1" applyBorder="1"/>
    <xf numFmtId="10" fontId="6" fillId="0" borderId="24" xfId="0" applyNumberFormat="1" applyFont="1" applyBorder="1"/>
    <xf numFmtId="10" fontId="6" fillId="0" borderId="30" xfId="0" applyNumberFormat="1" applyFont="1" applyBorder="1"/>
    <xf numFmtId="10" fontId="0" fillId="0" borderId="0" xfId="3" applyNumberFormat="1" applyFont="1" applyBorder="1"/>
    <xf numFmtId="0" fontId="0" fillId="0" borderId="37" xfId="0" applyBorder="1"/>
    <xf numFmtId="167" fontId="0" fillId="0" borderId="39" xfId="3" applyNumberFormat="1" applyFont="1" applyBorder="1"/>
    <xf numFmtId="9" fontId="0" fillId="0" borderId="22" xfId="0" applyNumberFormat="1" applyBorder="1"/>
    <xf numFmtId="10" fontId="0" fillId="0" borderId="33" xfId="0" applyNumberFormat="1" applyBorder="1"/>
    <xf numFmtId="10" fontId="0" fillId="0" borderId="24" xfId="3" applyNumberFormat="1" applyFont="1" applyFill="1" applyBorder="1"/>
    <xf numFmtId="167" fontId="0" fillId="0" borderId="30" xfId="0" applyNumberFormat="1" applyBorder="1"/>
    <xf numFmtId="10" fontId="0" fillId="0" borderId="37" xfId="3" applyNumberFormat="1" applyFont="1" applyBorder="1"/>
    <xf numFmtId="0" fontId="2" fillId="3" borderId="24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0" fillId="0" borderId="39" xfId="0" applyBorder="1" applyAlignment="1">
      <alignment horizontal="left"/>
    </xf>
    <xf numFmtId="0" fontId="0" fillId="0" borderId="35" xfId="0" applyBorder="1" applyAlignment="1">
      <alignment horizontal="left"/>
    </xf>
    <xf numFmtId="0" fontId="2" fillId="3" borderId="24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wrapText="1"/>
    </xf>
    <xf numFmtId="0" fontId="3" fillId="3" borderId="30" xfId="0" applyFont="1" applyFill="1" applyBorder="1" applyAlignment="1">
      <alignment horizont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0" fillId="0" borderId="37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2" borderId="37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3" fillId="3" borderId="43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0" fillId="0" borderId="40" xfId="0" applyBorder="1" applyAlignment="1">
      <alignment horizontal="left"/>
    </xf>
    <xf numFmtId="0" fontId="2" fillId="3" borderId="4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0" fontId="0" fillId="2" borderId="24" xfId="3" applyNumberFormat="1" applyFont="1" applyFill="1" applyBorder="1"/>
    <xf numFmtId="10" fontId="0" fillId="2" borderId="22" xfId="0" applyNumberFormat="1" applyFill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Niramay's</a:t>
            </a:r>
            <a:r>
              <a:rPr lang="en-US" baseline="0"/>
              <a:t> 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Sheet1!$A$3:$A$122</c:f>
              <c:numCache>
                <c:formatCode>m/d/yy</c:formatCode>
                <c:ptCount val="120"/>
                <c:pt idx="0">
                  <c:v>42034</c:v>
                </c:pt>
                <c:pt idx="1">
                  <c:v>42062</c:v>
                </c:pt>
                <c:pt idx="2">
                  <c:v>42094</c:v>
                </c:pt>
                <c:pt idx="3">
                  <c:v>42124</c:v>
                </c:pt>
                <c:pt idx="4">
                  <c:v>42153</c:v>
                </c:pt>
                <c:pt idx="5">
                  <c:v>42185</c:v>
                </c:pt>
                <c:pt idx="6">
                  <c:v>42216</c:v>
                </c:pt>
                <c:pt idx="7">
                  <c:v>42247</c:v>
                </c:pt>
                <c:pt idx="8">
                  <c:v>42277</c:v>
                </c:pt>
                <c:pt idx="9">
                  <c:v>42307</c:v>
                </c:pt>
                <c:pt idx="10">
                  <c:v>42338</c:v>
                </c:pt>
                <c:pt idx="11">
                  <c:v>42369</c:v>
                </c:pt>
                <c:pt idx="12">
                  <c:v>42398</c:v>
                </c:pt>
                <c:pt idx="13">
                  <c:v>42429</c:v>
                </c:pt>
                <c:pt idx="14">
                  <c:v>42460</c:v>
                </c:pt>
                <c:pt idx="15">
                  <c:v>42489</c:v>
                </c:pt>
                <c:pt idx="16">
                  <c:v>42521</c:v>
                </c:pt>
                <c:pt idx="17">
                  <c:v>42551</c:v>
                </c:pt>
                <c:pt idx="18">
                  <c:v>42580</c:v>
                </c:pt>
                <c:pt idx="19">
                  <c:v>42613</c:v>
                </c:pt>
                <c:pt idx="20">
                  <c:v>42643</c:v>
                </c:pt>
                <c:pt idx="21">
                  <c:v>42674</c:v>
                </c:pt>
                <c:pt idx="22">
                  <c:v>42704</c:v>
                </c:pt>
                <c:pt idx="23">
                  <c:v>42734</c:v>
                </c:pt>
                <c:pt idx="24">
                  <c:v>42766</c:v>
                </c:pt>
                <c:pt idx="25">
                  <c:v>42794</c:v>
                </c:pt>
                <c:pt idx="26">
                  <c:v>42825</c:v>
                </c:pt>
                <c:pt idx="27">
                  <c:v>42853</c:v>
                </c:pt>
                <c:pt idx="28">
                  <c:v>42886</c:v>
                </c:pt>
                <c:pt idx="29">
                  <c:v>42916</c:v>
                </c:pt>
                <c:pt idx="30">
                  <c:v>42947</c:v>
                </c:pt>
                <c:pt idx="31">
                  <c:v>42978</c:v>
                </c:pt>
                <c:pt idx="32">
                  <c:v>43007</c:v>
                </c:pt>
                <c:pt idx="33">
                  <c:v>43039</c:v>
                </c:pt>
                <c:pt idx="34">
                  <c:v>43069</c:v>
                </c:pt>
                <c:pt idx="35">
                  <c:v>43098</c:v>
                </c:pt>
                <c:pt idx="36">
                  <c:v>43131</c:v>
                </c:pt>
                <c:pt idx="37">
                  <c:v>43159</c:v>
                </c:pt>
                <c:pt idx="38">
                  <c:v>43188</c:v>
                </c:pt>
                <c:pt idx="39">
                  <c:v>43220</c:v>
                </c:pt>
                <c:pt idx="40">
                  <c:v>43251</c:v>
                </c:pt>
                <c:pt idx="41">
                  <c:v>43280</c:v>
                </c:pt>
                <c:pt idx="42">
                  <c:v>43312</c:v>
                </c:pt>
                <c:pt idx="43">
                  <c:v>43343</c:v>
                </c:pt>
                <c:pt idx="44">
                  <c:v>43371</c:v>
                </c:pt>
                <c:pt idx="45">
                  <c:v>43404</c:v>
                </c:pt>
                <c:pt idx="46">
                  <c:v>43434</c:v>
                </c:pt>
                <c:pt idx="47">
                  <c:v>43465</c:v>
                </c:pt>
                <c:pt idx="48">
                  <c:v>43496</c:v>
                </c:pt>
                <c:pt idx="49">
                  <c:v>43524</c:v>
                </c:pt>
                <c:pt idx="50">
                  <c:v>43553</c:v>
                </c:pt>
                <c:pt idx="51">
                  <c:v>43585</c:v>
                </c:pt>
                <c:pt idx="52">
                  <c:v>43616</c:v>
                </c:pt>
                <c:pt idx="53">
                  <c:v>43644</c:v>
                </c:pt>
                <c:pt idx="54">
                  <c:v>43677</c:v>
                </c:pt>
                <c:pt idx="55">
                  <c:v>43707</c:v>
                </c:pt>
                <c:pt idx="56">
                  <c:v>43738</c:v>
                </c:pt>
                <c:pt idx="57">
                  <c:v>43769</c:v>
                </c:pt>
                <c:pt idx="58">
                  <c:v>43798</c:v>
                </c:pt>
                <c:pt idx="59">
                  <c:v>43830</c:v>
                </c:pt>
                <c:pt idx="60">
                  <c:v>43861</c:v>
                </c:pt>
                <c:pt idx="61">
                  <c:v>43889</c:v>
                </c:pt>
                <c:pt idx="62">
                  <c:v>43921</c:v>
                </c:pt>
                <c:pt idx="63">
                  <c:v>43951</c:v>
                </c:pt>
                <c:pt idx="64">
                  <c:v>43980</c:v>
                </c:pt>
                <c:pt idx="65">
                  <c:v>44012</c:v>
                </c:pt>
                <c:pt idx="66">
                  <c:v>44043</c:v>
                </c:pt>
                <c:pt idx="67">
                  <c:v>44074</c:v>
                </c:pt>
                <c:pt idx="68">
                  <c:v>44104</c:v>
                </c:pt>
                <c:pt idx="69">
                  <c:v>44134</c:v>
                </c:pt>
                <c:pt idx="70">
                  <c:v>44165</c:v>
                </c:pt>
                <c:pt idx="71">
                  <c:v>44196</c:v>
                </c:pt>
                <c:pt idx="72">
                  <c:v>44225</c:v>
                </c:pt>
                <c:pt idx="73">
                  <c:v>44253</c:v>
                </c:pt>
                <c:pt idx="74">
                  <c:v>44286</c:v>
                </c:pt>
                <c:pt idx="75">
                  <c:v>44316</c:v>
                </c:pt>
                <c:pt idx="76">
                  <c:v>44344</c:v>
                </c:pt>
                <c:pt idx="77">
                  <c:v>44377</c:v>
                </c:pt>
                <c:pt idx="78">
                  <c:v>44407</c:v>
                </c:pt>
                <c:pt idx="79">
                  <c:v>44439</c:v>
                </c:pt>
                <c:pt idx="80">
                  <c:v>44469</c:v>
                </c:pt>
                <c:pt idx="81">
                  <c:v>44498</c:v>
                </c:pt>
                <c:pt idx="82">
                  <c:v>44530</c:v>
                </c:pt>
                <c:pt idx="83">
                  <c:v>44561</c:v>
                </c:pt>
                <c:pt idx="84">
                  <c:v>44592</c:v>
                </c:pt>
                <c:pt idx="85">
                  <c:v>44620</c:v>
                </c:pt>
                <c:pt idx="86">
                  <c:v>44651</c:v>
                </c:pt>
                <c:pt idx="87">
                  <c:v>44680</c:v>
                </c:pt>
                <c:pt idx="88">
                  <c:v>44712</c:v>
                </c:pt>
                <c:pt idx="89">
                  <c:v>44742</c:v>
                </c:pt>
                <c:pt idx="90">
                  <c:v>44771</c:v>
                </c:pt>
                <c:pt idx="91">
                  <c:v>44804</c:v>
                </c:pt>
                <c:pt idx="92">
                  <c:v>44834</c:v>
                </c:pt>
                <c:pt idx="93">
                  <c:v>44865</c:v>
                </c:pt>
                <c:pt idx="94">
                  <c:v>44895</c:v>
                </c:pt>
                <c:pt idx="95">
                  <c:v>44925</c:v>
                </c:pt>
                <c:pt idx="96">
                  <c:v>44957</c:v>
                </c:pt>
                <c:pt idx="97">
                  <c:v>44985</c:v>
                </c:pt>
                <c:pt idx="98">
                  <c:v>45016</c:v>
                </c:pt>
                <c:pt idx="99">
                  <c:v>45044</c:v>
                </c:pt>
                <c:pt idx="100">
                  <c:v>45077</c:v>
                </c:pt>
                <c:pt idx="101">
                  <c:v>45107</c:v>
                </c:pt>
                <c:pt idx="102">
                  <c:v>45138</c:v>
                </c:pt>
                <c:pt idx="103">
                  <c:v>45169</c:v>
                </c:pt>
                <c:pt idx="104">
                  <c:v>45198</c:v>
                </c:pt>
                <c:pt idx="105">
                  <c:v>45230</c:v>
                </c:pt>
                <c:pt idx="106">
                  <c:v>45260</c:v>
                </c:pt>
                <c:pt idx="107">
                  <c:v>45289</c:v>
                </c:pt>
                <c:pt idx="108">
                  <c:v>45322</c:v>
                </c:pt>
                <c:pt idx="109">
                  <c:v>45351</c:v>
                </c:pt>
                <c:pt idx="110">
                  <c:v>45379</c:v>
                </c:pt>
                <c:pt idx="111">
                  <c:v>45412</c:v>
                </c:pt>
                <c:pt idx="112">
                  <c:v>45443</c:v>
                </c:pt>
                <c:pt idx="113">
                  <c:v>45471</c:v>
                </c:pt>
                <c:pt idx="114">
                  <c:v>45504</c:v>
                </c:pt>
                <c:pt idx="115">
                  <c:v>45534</c:v>
                </c:pt>
                <c:pt idx="116">
                  <c:v>45565</c:v>
                </c:pt>
                <c:pt idx="117">
                  <c:v>45596</c:v>
                </c:pt>
                <c:pt idx="118">
                  <c:v>45625</c:v>
                </c:pt>
                <c:pt idx="119">
                  <c:v>45657</c:v>
                </c:pt>
              </c:numCache>
            </c:numRef>
          </c:cat>
          <c:val>
            <c:numRef>
              <c:f>Sheet1!$K$3:$K$122</c:f>
              <c:numCache>
                <c:formatCode>_("$"* #,##0.00_);_("$"* \(#,##0.00\);_("$"* "-"??_);_(@_)</c:formatCode>
                <c:ptCount val="120"/>
                <c:pt idx="0">
                  <c:v>100.00000000048003</c:v>
                </c:pt>
                <c:pt idx="1">
                  <c:v>106.9071021388757</c:v>
                </c:pt>
                <c:pt idx="2">
                  <c:v>100.51345572640153</c:v>
                </c:pt>
                <c:pt idx="3">
                  <c:v>112.46445208891136</c:v>
                </c:pt>
                <c:pt idx="4">
                  <c:v>110.08127043373734</c:v>
                </c:pt>
                <c:pt idx="5">
                  <c:v>105.22543519150369</c:v>
                </c:pt>
                <c:pt idx="6">
                  <c:v>115.22334299241319</c:v>
                </c:pt>
                <c:pt idx="7">
                  <c:v>110.10997639207659</c:v>
                </c:pt>
                <c:pt idx="8">
                  <c:v>110.89323369360271</c:v>
                </c:pt>
                <c:pt idx="9">
                  <c:v>128.90050535407653</c:v>
                </c:pt>
                <c:pt idx="10">
                  <c:v>134.26813321433491</c:v>
                </c:pt>
                <c:pt idx="11">
                  <c:v>136.56996292055064</c:v>
                </c:pt>
                <c:pt idx="12">
                  <c:v>133.34921724662871</c:v>
                </c:pt>
                <c:pt idx="13">
                  <c:v>124.77687385693088</c:v>
                </c:pt>
                <c:pt idx="14">
                  <c:v>134.78165716888262</c:v>
                </c:pt>
                <c:pt idx="15">
                  <c:v>123.95110231850205</c:v>
                </c:pt>
                <c:pt idx="16">
                  <c:v>132.3089607685296</c:v>
                </c:pt>
                <c:pt idx="17">
                  <c:v>126.19593147982812</c:v>
                </c:pt>
                <c:pt idx="18">
                  <c:v>140.33927033072393</c:v>
                </c:pt>
                <c:pt idx="19">
                  <c:v>141.15390791176301</c:v>
                </c:pt>
                <c:pt idx="20">
                  <c:v>142.5652076244601</c:v>
                </c:pt>
                <c:pt idx="21">
                  <c:v>146.40385096242952</c:v>
                </c:pt>
                <c:pt idx="22">
                  <c:v>147.05969607079254</c:v>
                </c:pt>
                <c:pt idx="23">
                  <c:v>152.86053906590936</c:v>
                </c:pt>
                <c:pt idx="24">
                  <c:v>160.22991165453413</c:v>
                </c:pt>
                <c:pt idx="25">
                  <c:v>160.15282027192163</c:v>
                </c:pt>
                <c:pt idx="26">
                  <c:v>164.51666689763144</c:v>
                </c:pt>
                <c:pt idx="27">
                  <c:v>174.04277034905206</c:v>
                </c:pt>
                <c:pt idx="28">
                  <c:v>184.84079948108899</c:v>
                </c:pt>
                <c:pt idx="29">
                  <c:v>180.79811991547408</c:v>
                </c:pt>
                <c:pt idx="30">
                  <c:v>188.32165833655739</c:v>
                </c:pt>
                <c:pt idx="31">
                  <c:v>193.52262092180939</c:v>
                </c:pt>
                <c:pt idx="32">
                  <c:v>195.50324040874355</c:v>
                </c:pt>
                <c:pt idx="33">
                  <c:v>214.34649756185081</c:v>
                </c:pt>
                <c:pt idx="34">
                  <c:v>214.67329665701931</c:v>
                </c:pt>
                <c:pt idx="35">
                  <c:v>217.33269763720179</c:v>
                </c:pt>
                <c:pt idx="36">
                  <c:v>245.57449914803271</c:v>
                </c:pt>
                <c:pt idx="37">
                  <c:v>238.87584968089737</c:v>
                </c:pt>
                <c:pt idx="38">
                  <c:v>227.00537333782219</c:v>
                </c:pt>
                <c:pt idx="39">
                  <c:v>229.24993270971945</c:v>
                </c:pt>
                <c:pt idx="40">
                  <c:v>243.71377578111847</c:v>
                </c:pt>
                <c:pt idx="41">
                  <c:v>245.62795950736134</c:v>
                </c:pt>
                <c:pt idx="42">
                  <c:v>261.8429190737923</c:v>
                </c:pt>
                <c:pt idx="43">
                  <c:v>274.6943132062882</c:v>
                </c:pt>
                <c:pt idx="44">
                  <c:v>275.03441224760979</c:v>
                </c:pt>
                <c:pt idx="45">
                  <c:v>251.61879744139182</c:v>
                </c:pt>
                <c:pt idx="46">
                  <c:v>253.59100962646616</c:v>
                </c:pt>
                <c:pt idx="47">
                  <c:v>233.1474369813788</c:v>
                </c:pt>
                <c:pt idx="48">
                  <c:v>242.32830273382987</c:v>
                </c:pt>
                <c:pt idx="49">
                  <c:v>254.62835197944375</c:v>
                </c:pt>
                <c:pt idx="50">
                  <c:v>267.6167910715514</c:v>
                </c:pt>
                <c:pt idx="51">
                  <c:v>285.00261621917679</c:v>
                </c:pt>
                <c:pt idx="52">
                  <c:v>263.35891470539309</c:v>
                </c:pt>
                <c:pt idx="53">
                  <c:v>280.21730445518449</c:v>
                </c:pt>
                <c:pt idx="54">
                  <c:v>292.78123187348615</c:v>
                </c:pt>
                <c:pt idx="55">
                  <c:v>292.52835509486601</c:v>
                </c:pt>
                <c:pt idx="56">
                  <c:v>296.76332774881217</c:v>
                </c:pt>
                <c:pt idx="57">
                  <c:v>310.48998469987964</c:v>
                </c:pt>
                <c:pt idx="58">
                  <c:v>326.655124721623</c:v>
                </c:pt>
                <c:pt idx="59">
                  <c:v>341.58738511040519</c:v>
                </c:pt>
                <c:pt idx="60">
                  <c:v>372.32972640904592</c:v>
                </c:pt>
                <c:pt idx="61">
                  <c:v>359.75632871159246</c:v>
                </c:pt>
                <c:pt idx="62">
                  <c:v>336.35076089075176</c:v>
                </c:pt>
                <c:pt idx="63">
                  <c:v>388.84674899383549</c:v>
                </c:pt>
                <c:pt idx="64">
                  <c:v>408.14262970312893</c:v>
                </c:pt>
                <c:pt idx="65">
                  <c:v>445.48848374382112</c:v>
                </c:pt>
                <c:pt idx="66">
                  <c:v>468.49261146524879</c:v>
                </c:pt>
                <c:pt idx="67">
                  <c:v>554.29204709331646</c:v>
                </c:pt>
                <c:pt idx="68">
                  <c:v>512.78651734008611</c:v>
                </c:pt>
                <c:pt idx="69">
                  <c:v>499.21325144245731</c:v>
                </c:pt>
                <c:pt idx="70">
                  <c:v>558.43464587652295</c:v>
                </c:pt>
                <c:pt idx="71">
                  <c:v>592.2015698662409</c:v>
                </c:pt>
                <c:pt idx="72">
                  <c:v>624.93506672829574</c:v>
                </c:pt>
                <c:pt idx="73">
                  <c:v>620.15482491774617</c:v>
                </c:pt>
                <c:pt idx="74">
                  <c:v>622.83728932906274</c:v>
                </c:pt>
                <c:pt idx="75">
                  <c:v>679.88848633652606</c:v>
                </c:pt>
                <c:pt idx="76">
                  <c:v>667.38503769926774</c:v>
                </c:pt>
                <c:pt idx="77">
                  <c:v>729.41612406080139</c:v>
                </c:pt>
                <c:pt idx="78">
                  <c:v>759.60318539873197</c:v>
                </c:pt>
                <c:pt idx="79">
                  <c:v>818.18005588095912</c:v>
                </c:pt>
                <c:pt idx="80">
                  <c:v>775.53847783645062</c:v>
                </c:pt>
                <c:pt idx="81">
                  <c:v>944.41299951168833</c:v>
                </c:pt>
                <c:pt idx="82">
                  <c:v>974.14329449729598</c:v>
                </c:pt>
                <c:pt idx="83">
                  <c:v>958.7047986934972</c:v>
                </c:pt>
                <c:pt idx="84">
                  <c:v>867.86219281925037</c:v>
                </c:pt>
                <c:pt idx="85">
                  <c:v>837.38042356384994</c:v>
                </c:pt>
                <c:pt idx="86">
                  <c:v>906.5842899538593</c:v>
                </c:pt>
                <c:pt idx="87">
                  <c:v>757.27009501046723</c:v>
                </c:pt>
                <c:pt idx="88">
                  <c:v>727.88565278022486</c:v>
                </c:pt>
                <c:pt idx="89">
                  <c:v>670.03356829016343</c:v>
                </c:pt>
                <c:pt idx="90">
                  <c:v>763.42760741202449</c:v>
                </c:pt>
                <c:pt idx="91">
                  <c:v>702.72742832049926</c:v>
                </c:pt>
                <c:pt idx="92">
                  <c:v>630.28759730672868</c:v>
                </c:pt>
                <c:pt idx="93">
                  <c:v>610.82102916193526</c:v>
                </c:pt>
                <c:pt idx="94">
                  <c:v>646.01601970672118</c:v>
                </c:pt>
                <c:pt idx="95">
                  <c:v>557.63242017727282</c:v>
                </c:pt>
                <c:pt idx="96">
                  <c:v>631.47125715324478</c:v>
                </c:pt>
                <c:pt idx="97">
                  <c:v>658.64126234443552</c:v>
                </c:pt>
                <c:pt idx="98">
                  <c:v>746.16042543155538</c:v>
                </c:pt>
                <c:pt idx="99">
                  <c:v>750.82295598280939</c:v>
                </c:pt>
                <c:pt idx="100">
                  <c:v>863.77467204255834</c:v>
                </c:pt>
                <c:pt idx="101">
                  <c:v>929.87102063875125</c:v>
                </c:pt>
                <c:pt idx="102">
                  <c:v>959.06881580326899</c:v>
                </c:pt>
                <c:pt idx="103">
                  <c:v>958.91500392689647</c:v>
                </c:pt>
                <c:pt idx="104">
                  <c:v>904.85890551820626</c:v>
                </c:pt>
                <c:pt idx="105">
                  <c:v>886.89740374712017</c:v>
                </c:pt>
                <c:pt idx="106">
                  <c:v>1000.964990247225</c:v>
                </c:pt>
                <c:pt idx="107">
                  <c:v>1021.0156852680666</c:v>
                </c:pt>
                <c:pt idx="108">
                  <c:v>1068.2107859353196</c:v>
                </c:pt>
                <c:pt idx="109">
                  <c:v>1180.3146238305092</c:v>
                </c:pt>
                <c:pt idx="110">
                  <c:v>1232.1080921113869</c:v>
                </c:pt>
                <c:pt idx="111">
                  <c:v>1187.8293591180438</c:v>
                </c:pt>
                <c:pt idx="112">
                  <c:v>1333.2023241655868</c:v>
                </c:pt>
                <c:pt idx="113">
                  <c:v>1458.6046422301965</c:v>
                </c:pt>
                <c:pt idx="114">
                  <c:v>1399.6240406180893</c:v>
                </c:pt>
                <c:pt idx="115">
                  <c:v>1389.1850985729172</c:v>
                </c:pt>
                <c:pt idx="116">
                  <c:v>1445.7432476537488</c:v>
                </c:pt>
                <c:pt idx="117">
                  <c:v>1461.5361173762053</c:v>
                </c:pt>
                <c:pt idx="118">
                  <c:v>1562.164062505424</c:v>
                </c:pt>
                <c:pt idx="119">
                  <c:v>1596.2284789324767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7-F94A-9064-ADB7A6043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183760"/>
        <c:axId val="572185472"/>
      </c:lineChart>
      <c:dateAx>
        <c:axId val="572183760"/>
        <c:scaling>
          <c:orientation val="minMax"/>
          <c:max val="4565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85472"/>
        <c:crosses val="autoZero"/>
        <c:auto val="0"/>
        <c:lblOffset val="100"/>
        <c:baseTimeUnit val="months"/>
        <c:majorUnit val="5"/>
        <c:majorTimeUnit val="months"/>
      </c:dateAx>
      <c:valAx>
        <c:axId val="57218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8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71506650660638316"/>
                  <c:y val="-0.29100710694559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'Sheet 2'!$W$4:$W$122</c:f>
              <c:numCache>
                <c:formatCode>0.00%</c:formatCode>
                <c:ptCount val="119"/>
                <c:pt idx="0">
                  <c:v>5.4899999999999997E-2</c:v>
                </c:pt>
                <c:pt idx="1">
                  <c:v>-1.7399999999999999E-2</c:v>
                </c:pt>
                <c:pt idx="2">
                  <c:v>8.5000000000000006E-3</c:v>
                </c:pt>
                <c:pt idx="3">
                  <c:v>1.0500000000000001E-2</c:v>
                </c:pt>
                <c:pt idx="4">
                  <c:v>-2.1000000000000001E-2</c:v>
                </c:pt>
                <c:pt idx="5">
                  <c:v>1.9699999999999999E-2</c:v>
                </c:pt>
                <c:pt idx="6">
                  <c:v>-6.2600000000000003E-2</c:v>
                </c:pt>
                <c:pt idx="7">
                  <c:v>-2.64E-2</c:v>
                </c:pt>
                <c:pt idx="8">
                  <c:v>8.3000000000000004E-2</c:v>
                </c:pt>
                <c:pt idx="9">
                  <c:v>5.0000000000000001E-4</c:v>
                </c:pt>
                <c:pt idx="10">
                  <c:v>-1.7500000000000002E-2</c:v>
                </c:pt>
                <c:pt idx="11">
                  <c:v>-5.0700000000000002E-2</c:v>
                </c:pt>
                <c:pt idx="12">
                  <c:v>-4.1000000000000003E-3</c:v>
                </c:pt>
                <c:pt idx="13">
                  <c:v>6.6000000000000003E-2</c:v>
                </c:pt>
                <c:pt idx="14">
                  <c:v>2.7000000000000001E-3</c:v>
                </c:pt>
                <c:pt idx="15">
                  <c:v>1.5299999999999999E-2</c:v>
                </c:pt>
                <c:pt idx="16">
                  <c:v>8.9999999999999998E-4</c:v>
                </c:pt>
                <c:pt idx="17">
                  <c:v>3.56E-2</c:v>
                </c:pt>
                <c:pt idx="18">
                  <c:v>-1.1999999999999999E-3</c:v>
                </c:pt>
                <c:pt idx="19">
                  <c:v>-1.1999999999999999E-3</c:v>
                </c:pt>
                <c:pt idx="20">
                  <c:v>-1.9400000000000001E-2</c:v>
                </c:pt>
                <c:pt idx="21">
                  <c:v>3.4200000000000001E-2</c:v>
                </c:pt>
                <c:pt idx="22">
                  <c:v>1.8200000000000001E-2</c:v>
                </c:pt>
                <c:pt idx="23">
                  <c:v>1.7899999999999999E-2</c:v>
                </c:pt>
                <c:pt idx="24">
                  <c:v>3.7199999999999997E-2</c:v>
                </c:pt>
                <c:pt idx="25">
                  <c:v>-4.0000000000000002E-4</c:v>
                </c:pt>
                <c:pt idx="26">
                  <c:v>9.1000000000000004E-3</c:v>
                </c:pt>
                <c:pt idx="27">
                  <c:v>1.1599999999999999E-2</c:v>
                </c:pt>
                <c:pt idx="28">
                  <c:v>4.7999999999999996E-3</c:v>
                </c:pt>
                <c:pt idx="29">
                  <c:v>1.9300000000000001E-2</c:v>
                </c:pt>
                <c:pt idx="30">
                  <c:v>5.0000000000000001E-4</c:v>
                </c:pt>
                <c:pt idx="31">
                  <c:v>1.9300000000000001E-2</c:v>
                </c:pt>
                <c:pt idx="32">
                  <c:v>2.2200000000000001E-2</c:v>
                </c:pt>
                <c:pt idx="33">
                  <c:v>2.81E-2</c:v>
                </c:pt>
                <c:pt idx="34">
                  <c:v>9.7999999999999997E-3</c:v>
                </c:pt>
                <c:pt idx="35">
                  <c:v>5.62E-2</c:v>
                </c:pt>
                <c:pt idx="36">
                  <c:v>-3.8899999999999997E-2</c:v>
                </c:pt>
                <c:pt idx="37">
                  <c:v>-2.69E-2</c:v>
                </c:pt>
                <c:pt idx="38">
                  <c:v>2.7000000000000001E-3</c:v>
                </c:pt>
                <c:pt idx="39">
                  <c:v>2.1600000000000001E-2</c:v>
                </c:pt>
                <c:pt idx="40">
                  <c:v>4.7999999999999996E-3</c:v>
                </c:pt>
                <c:pt idx="41">
                  <c:v>3.5999999999999997E-2</c:v>
                </c:pt>
                <c:pt idx="42">
                  <c:v>3.0300000000000001E-2</c:v>
                </c:pt>
                <c:pt idx="43">
                  <c:v>4.3E-3</c:v>
                </c:pt>
                <c:pt idx="44">
                  <c:v>-6.9400000000000003E-2</c:v>
                </c:pt>
                <c:pt idx="45">
                  <c:v>1.7899999999999999E-2</c:v>
                </c:pt>
                <c:pt idx="46">
                  <c:v>-9.1800000000000007E-2</c:v>
                </c:pt>
                <c:pt idx="47">
                  <c:v>7.8700000000000006E-2</c:v>
                </c:pt>
                <c:pt idx="48">
                  <c:v>2.9700000000000001E-2</c:v>
                </c:pt>
                <c:pt idx="49">
                  <c:v>1.7899999999999999E-2</c:v>
                </c:pt>
                <c:pt idx="50">
                  <c:v>3.9300000000000002E-2</c:v>
                </c:pt>
                <c:pt idx="51">
                  <c:v>-6.5799999999999997E-2</c:v>
                </c:pt>
                <c:pt idx="52">
                  <c:v>6.8900000000000003E-2</c:v>
                </c:pt>
                <c:pt idx="53">
                  <c:v>1.3100000000000001E-2</c:v>
                </c:pt>
                <c:pt idx="54">
                  <c:v>-1.8100000000000002E-2</c:v>
                </c:pt>
                <c:pt idx="55">
                  <c:v>1.72E-2</c:v>
                </c:pt>
                <c:pt idx="56">
                  <c:v>2.0400000000000001E-2</c:v>
                </c:pt>
                <c:pt idx="57">
                  <c:v>3.4000000000000002E-2</c:v>
                </c:pt>
                <c:pt idx="58">
                  <c:v>2.86E-2</c:v>
                </c:pt>
                <c:pt idx="59">
                  <c:v>-1.6000000000000001E-3</c:v>
                </c:pt>
                <c:pt idx="60">
                  <c:v>-8.4099999999999994E-2</c:v>
                </c:pt>
                <c:pt idx="61">
                  <c:v>-0.12509999999999999</c:v>
                </c:pt>
                <c:pt idx="62">
                  <c:v>0.1268</c:v>
                </c:pt>
                <c:pt idx="63">
                  <c:v>4.53E-2</c:v>
                </c:pt>
                <c:pt idx="64">
                  <c:v>1.84E-2</c:v>
                </c:pt>
                <c:pt idx="65">
                  <c:v>5.5100000000000003E-2</c:v>
                </c:pt>
                <c:pt idx="66">
                  <c:v>7.0099999999999996E-2</c:v>
                </c:pt>
                <c:pt idx="67">
                  <c:v>-3.9199999999999999E-2</c:v>
                </c:pt>
                <c:pt idx="68">
                  <c:v>-2.7699999999999999E-2</c:v>
                </c:pt>
                <c:pt idx="69">
                  <c:v>0.1075</c:v>
                </c:pt>
                <c:pt idx="70">
                  <c:v>3.7100000000000001E-2</c:v>
                </c:pt>
                <c:pt idx="71">
                  <c:v>-1.11E-2</c:v>
                </c:pt>
                <c:pt idx="72">
                  <c:v>2.6100000000000002E-2</c:v>
                </c:pt>
                <c:pt idx="73">
                  <c:v>4.24E-2</c:v>
                </c:pt>
                <c:pt idx="74">
                  <c:v>5.2400000000000002E-2</c:v>
                </c:pt>
                <c:pt idx="75">
                  <c:v>5.4999999999999997E-3</c:v>
                </c:pt>
                <c:pt idx="76">
                  <c:v>2.2200000000000001E-2</c:v>
                </c:pt>
                <c:pt idx="77">
                  <c:v>2.2700000000000001E-2</c:v>
                </c:pt>
                <c:pt idx="78">
                  <c:v>2.9000000000000001E-2</c:v>
                </c:pt>
                <c:pt idx="79">
                  <c:v>-4.7600000000000003E-2</c:v>
                </c:pt>
                <c:pt idx="80">
                  <c:v>6.9099999999999995E-2</c:v>
                </c:pt>
                <c:pt idx="81">
                  <c:v>-8.3000000000000001E-3</c:v>
                </c:pt>
                <c:pt idx="82">
                  <c:v>4.36E-2</c:v>
                </c:pt>
                <c:pt idx="83">
                  <c:v>-5.2600000000000001E-2</c:v>
                </c:pt>
                <c:pt idx="84">
                  <c:v>-3.1399999999999997E-2</c:v>
                </c:pt>
                <c:pt idx="85">
                  <c:v>3.5799999999999998E-2</c:v>
                </c:pt>
                <c:pt idx="86">
                  <c:v>-8.7999999999999995E-2</c:v>
                </c:pt>
                <c:pt idx="87">
                  <c:v>1E-4</c:v>
                </c:pt>
                <c:pt idx="88">
                  <c:v>-8.3900000000000002E-2</c:v>
                </c:pt>
                <c:pt idx="89">
                  <c:v>9.11E-2</c:v>
                </c:pt>
                <c:pt idx="90">
                  <c:v>-4.24E-2</c:v>
                </c:pt>
                <c:pt idx="91">
                  <c:v>-9.3399999999999997E-2</c:v>
                </c:pt>
                <c:pt idx="92">
                  <c:v>7.9899999999999999E-2</c:v>
                </c:pt>
                <c:pt idx="93">
                  <c:v>5.3800000000000001E-2</c:v>
                </c:pt>
                <c:pt idx="94">
                  <c:v>-5.8999999999999997E-2</c:v>
                </c:pt>
                <c:pt idx="95">
                  <c:v>6.1800000000000001E-2</c:v>
                </c:pt>
                <c:pt idx="96">
                  <c:v>-2.6100000000000002E-2</c:v>
                </c:pt>
                <c:pt idx="97">
                  <c:v>3.5099999999999999E-2</c:v>
                </c:pt>
                <c:pt idx="98">
                  <c:v>1.46E-2</c:v>
                </c:pt>
                <c:pt idx="99">
                  <c:v>2.5000000000000001E-3</c:v>
                </c:pt>
                <c:pt idx="100">
                  <c:v>6.4699999999999994E-2</c:v>
                </c:pt>
                <c:pt idx="101">
                  <c:v>3.1099999999999999E-2</c:v>
                </c:pt>
                <c:pt idx="102">
                  <c:v>-1.77E-2</c:v>
                </c:pt>
                <c:pt idx="103">
                  <c:v>-4.87E-2</c:v>
                </c:pt>
                <c:pt idx="104">
                  <c:v>-2.1999999999999999E-2</c:v>
                </c:pt>
                <c:pt idx="105">
                  <c:v>8.9200000000000002E-2</c:v>
                </c:pt>
                <c:pt idx="106">
                  <c:v>4.4200000000000003E-2</c:v>
                </c:pt>
                <c:pt idx="107">
                  <c:v>1.5900000000000001E-2</c:v>
                </c:pt>
                <c:pt idx="108">
                  <c:v>5.1700000000000003E-2</c:v>
                </c:pt>
                <c:pt idx="109">
                  <c:v>3.1E-2</c:v>
                </c:pt>
                <c:pt idx="110">
                  <c:v>-4.1599999999999998E-2</c:v>
                </c:pt>
                <c:pt idx="111">
                  <c:v>4.8000000000000001E-2</c:v>
                </c:pt>
                <c:pt idx="112">
                  <c:v>3.4700000000000002E-2</c:v>
                </c:pt>
                <c:pt idx="113">
                  <c:v>1.1299999999999999E-2</c:v>
                </c:pt>
                <c:pt idx="114">
                  <c:v>2.2800000000000001E-2</c:v>
                </c:pt>
                <c:pt idx="115">
                  <c:v>2.0199999999999999E-2</c:v>
                </c:pt>
                <c:pt idx="116">
                  <c:v>-9.9000000000000008E-3</c:v>
                </c:pt>
                <c:pt idx="117">
                  <c:v>5.7299999999999997E-2</c:v>
                </c:pt>
                <c:pt idx="118">
                  <c:v>-2.5000000000000001E-2</c:v>
                </c:pt>
              </c:numCache>
            </c:numRef>
          </c:xVal>
          <c:yVal>
            <c:numRef>
              <c:f>'Sheet 2'!$X$4:$X$122</c:f>
              <c:numCache>
                <c:formatCode>0.00%</c:formatCode>
                <c:ptCount val="119"/>
                <c:pt idx="0">
                  <c:v>8.5205556241958358E-2</c:v>
                </c:pt>
                <c:pt idx="1">
                  <c:v>-7.2859369988025308E-2</c:v>
                </c:pt>
                <c:pt idx="2">
                  <c:v>0.19641119964923184</c:v>
                </c:pt>
                <c:pt idx="3">
                  <c:v>-3.6274449651266576E-2</c:v>
                </c:pt>
                <c:pt idx="4">
                  <c:v>-5.7551837199294402E-2</c:v>
                </c:pt>
                <c:pt idx="5">
                  <c:v>5.7613463112825114E-2</c:v>
                </c:pt>
                <c:pt idx="6">
                  <c:v>-6.8085695086678971E-2</c:v>
                </c:pt>
                <c:pt idx="7">
                  <c:v>1.6960451869050111E-2</c:v>
                </c:pt>
                <c:pt idx="8">
                  <c:v>0.18855308404579912</c:v>
                </c:pt>
                <c:pt idx="9">
                  <c:v>3.2661098862064107E-2</c:v>
                </c:pt>
                <c:pt idx="10">
                  <c:v>2.0838534896728905E-2</c:v>
                </c:pt>
                <c:pt idx="11">
                  <c:v>-7.460865267724168E-3</c:v>
                </c:pt>
                <c:pt idx="12">
                  <c:v>-7.624411732162184E-2</c:v>
                </c:pt>
                <c:pt idx="13">
                  <c:v>8.5740547664883718E-2</c:v>
                </c:pt>
                <c:pt idx="14">
                  <c:v>-9.6730444656962955E-2</c:v>
                </c:pt>
                <c:pt idx="15">
                  <c:v>6.2465375378186035E-2</c:v>
                </c:pt>
                <c:pt idx="16">
                  <c:v>-3.4560243410356489E-2</c:v>
                </c:pt>
                <c:pt idx="17">
                  <c:v>0.107676721693578</c:v>
                </c:pt>
                <c:pt idx="18">
                  <c:v>1.3518073630594804E-2</c:v>
                </c:pt>
                <c:pt idx="19">
                  <c:v>2.3484270079929979E-3</c:v>
                </c:pt>
                <c:pt idx="20">
                  <c:v>4.0121457853715452E-2</c:v>
                </c:pt>
                <c:pt idx="21">
                  <c:v>5.5692219996749904E-3</c:v>
                </c:pt>
                <c:pt idx="22">
                  <c:v>3.1411358650581721E-2</c:v>
                </c:pt>
                <c:pt idx="23">
                  <c:v>4.0697082961148906E-2</c:v>
                </c:pt>
                <c:pt idx="24">
                  <c:v>-1.0357676010974416E-2</c:v>
                </c:pt>
                <c:pt idx="25">
                  <c:v>2.9568424934410323E-2</c:v>
                </c:pt>
                <c:pt idx="26">
                  <c:v>3.9673288882975333E-2</c:v>
                </c:pt>
                <c:pt idx="27">
                  <c:v>2.0301870067879143E-2</c:v>
                </c:pt>
                <c:pt idx="28">
                  <c:v>-1.286839557230156E-2</c:v>
                </c:pt>
                <c:pt idx="29">
                  <c:v>5.4341263346766214E-2</c:v>
                </c:pt>
                <c:pt idx="30">
                  <c:v>2.8630869279934478E-2</c:v>
                </c:pt>
                <c:pt idx="31">
                  <c:v>-3.8279284989516664E-3</c:v>
                </c:pt>
                <c:pt idx="32">
                  <c:v>0.11634207553484446</c:v>
                </c:pt>
                <c:pt idx="33">
                  <c:v>1.1725443269731885E-2</c:v>
                </c:pt>
                <c:pt idx="34">
                  <c:v>1.6258641592425887E-2</c:v>
                </c:pt>
                <c:pt idx="35">
                  <c:v>0.11076836354293708</c:v>
                </c:pt>
                <c:pt idx="36">
                  <c:v>-1.3092396914259556E-2</c:v>
                </c:pt>
                <c:pt idx="37">
                  <c:v>-2.7095038713837401E-2</c:v>
                </c:pt>
                <c:pt idx="38">
                  <c:v>2.4827207832076915E-2</c:v>
                </c:pt>
                <c:pt idx="39">
                  <c:v>5.6692714912611339E-2</c:v>
                </c:pt>
                <c:pt idx="40">
                  <c:v>-1.8726456440042499E-3</c:v>
                </c:pt>
                <c:pt idx="41">
                  <c:v>7.5299526054966495E-2</c:v>
                </c:pt>
                <c:pt idx="42">
                  <c:v>5.8814302058726689E-2</c:v>
                </c:pt>
                <c:pt idx="43">
                  <c:v>1.7852239652432964E-2</c:v>
                </c:pt>
                <c:pt idx="44">
                  <c:v>-6.5354129235087599E-2</c:v>
                </c:pt>
                <c:pt idx="45">
                  <c:v>3.8200478344457584E-2</c:v>
                </c:pt>
                <c:pt idx="46">
                  <c:v>-8.3973434184639872E-2</c:v>
                </c:pt>
                <c:pt idx="47">
                  <c:v>2.7925895032599499E-2</c:v>
                </c:pt>
                <c:pt idx="48">
                  <c:v>7.2708149023006749E-2</c:v>
                </c:pt>
                <c:pt idx="49">
                  <c:v>5.2363027316574016E-2</c:v>
                </c:pt>
                <c:pt idx="50">
                  <c:v>0.106783761573144</c:v>
                </c:pt>
                <c:pt idx="51">
                  <c:v>-5.3362528796284468E-2</c:v>
                </c:pt>
                <c:pt idx="52">
                  <c:v>8.3389587501709772E-2</c:v>
                </c:pt>
                <c:pt idx="53">
                  <c:v>1.7384483536848211E-2</c:v>
                </c:pt>
                <c:pt idx="54">
                  <c:v>1.1496873973987234E-2</c:v>
                </c:pt>
                <c:pt idx="55">
                  <c:v>8.6168033417816682E-3</c:v>
                </c:pt>
                <c:pt idx="56">
                  <c:v>3.1823042810744613E-2</c:v>
                </c:pt>
                <c:pt idx="57">
                  <c:v>5.5851540062428519E-2</c:v>
                </c:pt>
                <c:pt idx="58">
                  <c:v>4.2245991790075335E-2</c:v>
                </c:pt>
                <c:pt idx="59">
                  <c:v>8.0499690908662297E-2</c:v>
                </c:pt>
                <c:pt idx="60">
                  <c:v>-4.8122717293744906E-2</c:v>
                </c:pt>
                <c:pt idx="61">
                  <c:v>-2.6956729393693406E-2</c:v>
                </c:pt>
                <c:pt idx="62">
                  <c:v>0.13710781398306496</c:v>
                </c:pt>
                <c:pt idx="63">
                  <c:v>2.2643071978119014E-2</c:v>
                </c:pt>
                <c:pt idx="64">
                  <c:v>0.11096051156422909</c:v>
                </c:pt>
                <c:pt idx="65">
                  <c:v>8.0684420812448098E-3</c:v>
                </c:pt>
                <c:pt idx="66">
                  <c:v>0.10150164990998431</c:v>
                </c:pt>
                <c:pt idx="67">
                  <c:v>-6.7554276342978628E-2</c:v>
                </c:pt>
                <c:pt idx="68">
                  <c:v>-3.749754881779923E-2</c:v>
                </c:pt>
                <c:pt idx="69">
                  <c:v>5.8183151980732296E-2</c:v>
                </c:pt>
                <c:pt idx="70">
                  <c:v>3.9454580152191096E-2</c:v>
                </c:pt>
                <c:pt idx="71">
                  <c:v>4.3071155890681626E-2</c:v>
                </c:pt>
                <c:pt idx="72">
                  <c:v>1.4799161038608791E-3</c:v>
                </c:pt>
                <c:pt idx="73">
                  <c:v>1.4531505432599385E-2</c:v>
                </c:pt>
                <c:pt idx="74">
                  <c:v>6.9585304040312559E-2</c:v>
                </c:pt>
                <c:pt idx="75">
                  <c:v>-1.0152567225410409E-2</c:v>
                </c:pt>
                <c:pt idx="76">
                  <c:v>8.4993513115757438E-2</c:v>
                </c:pt>
                <c:pt idx="77">
                  <c:v>5.1627166371819078E-2</c:v>
                </c:pt>
                <c:pt idx="78">
                  <c:v>5.958693102760413E-2</c:v>
                </c:pt>
                <c:pt idx="79">
                  <c:v>-6.5854986213432068E-2</c:v>
                </c:pt>
                <c:pt idx="80">
                  <c:v>0.17686276913687471</c:v>
                </c:pt>
                <c:pt idx="81">
                  <c:v>-3.0384788679823247E-3</c:v>
                </c:pt>
                <c:pt idx="82">
                  <c:v>1.712576925759306E-2</c:v>
                </c:pt>
                <c:pt idx="83">
                  <c:v>-7.542895693548296E-2</c:v>
                </c:pt>
                <c:pt idx="84">
                  <c:v>-3.9268021160577933E-2</c:v>
                </c:pt>
                <c:pt idx="85">
                  <c:v>3.2314671862748834E-2</c:v>
                </c:pt>
                <c:pt idx="86">
                  <c:v>-0.10006932378206611</c:v>
                </c:pt>
                <c:pt idx="87">
                  <c:v>-2.0597970157909901E-2</c:v>
                </c:pt>
                <c:pt idx="88">
                  <c:v>-5.5444857689323501E-2</c:v>
                </c:pt>
                <c:pt idx="89">
                  <c:v>9.3603356433770782E-2</c:v>
                </c:pt>
                <c:pt idx="90">
                  <c:v>-6.8648440972723657E-2</c:v>
                </c:pt>
                <c:pt idx="91">
                  <c:v>-0.10910940263702172</c:v>
                </c:pt>
                <c:pt idx="92">
                  <c:v>-3.6111463550162291E-3</c:v>
                </c:pt>
                <c:pt idx="93">
                  <c:v>9.8590645871192636E-2</c:v>
                </c:pt>
                <c:pt idx="94">
                  <c:v>-6.0720491184438008E-2</c:v>
                </c:pt>
                <c:pt idx="95">
                  <c:v>3.4135844663170788E-2</c:v>
                </c:pt>
                <c:pt idx="96">
                  <c:v>6.8946885218558827E-3</c:v>
                </c:pt>
                <c:pt idx="97">
                  <c:v>0.15555785048157955</c:v>
                </c:pt>
                <c:pt idx="98">
                  <c:v>6.5163514148941129E-2</c:v>
                </c:pt>
                <c:pt idx="99">
                  <c:v>6.9147778262308307E-2</c:v>
                </c:pt>
                <c:pt idx="100">
                  <c:v>3.7540466564863706E-2</c:v>
                </c:pt>
                <c:pt idx="101">
                  <c:v>-1.3489370406783928E-2</c:v>
                </c:pt>
                <c:pt idx="102">
                  <c:v>-2.4314949978848397E-2</c:v>
                </c:pt>
                <c:pt idx="103">
                  <c:v>-3.6629102205382083E-2</c:v>
                </c:pt>
                <c:pt idx="104">
                  <c:v>7.0226370285611184E-2</c:v>
                </c:pt>
                <c:pt idx="105">
                  <c:v>0.12083496795096897</c:v>
                </c:pt>
                <c:pt idx="106">
                  <c:v>-7.4808427837936625E-3</c:v>
                </c:pt>
                <c:pt idx="107">
                  <c:v>5.6614262987954161E-2</c:v>
                </c:pt>
                <c:pt idx="108">
                  <c:v>4.0476852176255566E-2</c:v>
                </c:pt>
                <c:pt idx="109">
                  <c:v>1.6794792705042395E-2</c:v>
                </c:pt>
                <c:pt idx="110">
                  <c:v>-7.4352720572903555E-2</c:v>
                </c:pt>
                <c:pt idx="111">
                  <c:v>6.6059834239607901E-2</c:v>
                </c:pt>
                <c:pt idx="112">
                  <c:v>7.6726572133679061E-2</c:v>
                </c:pt>
                <c:pt idx="113">
                  <c:v>-6.3469130879642316E-2</c:v>
                </c:pt>
                <c:pt idx="114">
                  <c:v>-3.0559532886494868E-3</c:v>
                </c:pt>
                <c:pt idx="115">
                  <c:v>3.1966356016096938E-2</c:v>
                </c:pt>
                <c:pt idx="116">
                  <c:v>-5.5635442103800378E-2</c:v>
                </c:pt>
                <c:pt idx="117">
                  <c:v>4.2852037992828856E-2</c:v>
                </c:pt>
                <c:pt idx="118">
                  <c:v>-4.2448719394152573E-3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A-0E42-AF8F-CDAC9850F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179487"/>
        <c:axId val="1015252863"/>
      </c:scatterChart>
      <c:valAx>
        <c:axId val="1015179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252863"/>
        <c:crosses val="autoZero"/>
        <c:crossBetween val="midCat"/>
      </c:valAx>
      <c:valAx>
        <c:axId val="101525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179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657930</xdr:colOff>
      <xdr:row>1</xdr:row>
      <xdr:rowOff>190500</xdr:rowOff>
    </xdr:from>
    <xdr:to>
      <xdr:col>46</xdr:col>
      <xdr:colOff>723900</xdr:colOff>
      <xdr:row>28</xdr:row>
      <xdr:rowOff>171801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242BD5-559B-0FE0-6E90-372D4E804C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888265</xdr:colOff>
      <xdr:row>16</xdr:row>
      <xdr:rowOff>15828</xdr:rowOff>
    </xdr:from>
    <xdr:to>
      <xdr:col>54</xdr:col>
      <xdr:colOff>30480</xdr:colOff>
      <xdr:row>54</xdr:row>
      <xdr:rowOff>10160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850AED-0701-E644-9EF7-FB4AA2085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749447</xdr:colOff>
      <xdr:row>5</xdr:row>
      <xdr:rowOff>150435</xdr:rowOff>
    </xdr:to>
    <xdr:sp macro="[0]!Sharpe" textlink="">
      <xdr:nvSpPr>
        <xdr:cNvPr id="2" name="Rectangle 1">
          <a:extLst>
            <a:ext uri="{FF2B5EF4-FFF2-40B4-BE49-F238E27FC236}">
              <a16:creationId xmlns:a16="http://schemas.microsoft.com/office/drawing/2014/main" id="{BE864186-EEA3-6041-A390-D3E355486D74}"/>
            </a:ext>
          </a:extLst>
        </xdr:cNvPr>
        <xdr:cNvSpPr/>
      </xdr:nvSpPr>
      <xdr:spPr>
        <a:xfrm>
          <a:off x="32569058" y="635000"/>
          <a:ext cx="1678940" cy="573768"/>
        </a:xfrm>
        <a:prstGeom prst="rect">
          <a:avLst/>
        </a:prstGeom>
        <a:solidFill>
          <a:srgbClr val="00B0F0"/>
        </a:solidFill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Find Max Sharpe Ratio</a:t>
          </a:r>
        </a:p>
      </xdr:txBody>
    </xdr:sp>
    <xdr:clientData/>
  </xdr:twoCellAnchor>
  <xdr:twoCellAnchor>
    <xdr:from>
      <xdr:col>37</xdr:col>
      <xdr:colOff>0</xdr:colOff>
      <xdr:row>6</xdr:row>
      <xdr:rowOff>177801</xdr:rowOff>
    </xdr:from>
    <xdr:to>
      <xdr:col>38</xdr:col>
      <xdr:colOff>749447</xdr:colOff>
      <xdr:row>9</xdr:row>
      <xdr:rowOff>116569</xdr:rowOff>
    </xdr:to>
    <xdr:sp macro="[0]!MinVar" textlink="">
      <xdr:nvSpPr>
        <xdr:cNvPr id="4" name="Rectangle 3">
          <a:extLst>
            <a:ext uri="{FF2B5EF4-FFF2-40B4-BE49-F238E27FC236}">
              <a16:creationId xmlns:a16="http://schemas.microsoft.com/office/drawing/2014/main" id="{4039222E-5857-BB4E-BC7A-AF5C6E4E6DC1}"/>
            </a:ext>
          </a:extLst>
        </xdr:cNvPr>
        <xdr:cNvSpPr/>
      </xdr:nvSpPr>
      <xdr:spPr>
        <a:xfrm>
          <a:off x="32569058" y="1447801"/>
          <a:ext cx="1678940" cy="573768"/>
        </a:xfrm>
        <a:prstGeom prst="rect">
          <a:avLst/>
        </a:prstGeom>
        <a:solidFill>
          <a:srgbClr val="00B0F0"/>
        </a:solidFill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Find Least Annual Standard</a:t>
          </a:r>
          <a:r>
            <a:rPr lang="en-US" sz="1200" b="1" baseline="0">
              <a:solidFill>
                <a:sysClr val="windowText" lastClr="000000"/>
              </a:solidFill>
            </a:rPr>
            <a:t> Deviation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37</xdr:col>
      <xdr:colOff>12700</xdr:colOff>
      <xdr:row>10</xdr:row>
      <xdr:rowOff>143934</xdr:rowOff>
    </xdr:from>
    <xdr:to>
      <xdr:col>38</xdr:col>
      <xdr:colOff>749447</xdr:colOff>
      <xdr:row>13</xdr:row>
      <xdr:rowOff>71362</xdr:rowOff>
    </xdr:to>
    <xdr:sp macro="[0]!Drawdown" textlink="">
      <xdr:nvSpPr>
        <xdr:cNvPr id="5" name="Rectangle 4">
          <a:extLst>
            <a:ext uri="{FF2B5EF4-FFF2-40B4-BE49-F238E27FC236}">
              <a16:creationId xmlns:a16="http://schemas.microsoft.com/office/drawing/2014/main" id="{FAED89EF-A66F-7C46-9C0A-35EFA05C8B12}"/>
            </a:ext>
          </a:extLst>
        </xdr:cNvPr>
        <xdr:cNvSpPr/>
      </xdr:nvSpPr>
      <xdr:spPr>
        <a:xfrm>
          <a:off x="32581758" y="2260601"/>
          <a:ext cx="1666240" cy="562428"/>
        </a:xfrm>
        <a:prstGeom prst="rect">
          <a:avLst/>
        </a:prstGeom>
        <a:solidFill>
          <a:srgbClr val="00B0F0"/>
        </a:solidFill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Find portfolio with the smallest Drawdown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378F-5DC7-C748-93A0-308A33EEE1EE}">
  <sheetPr codeName="Sheet1"/>
  <dimension ref="A1:AF122"/>
  <sheetViews>
    <sheetView showGridLines="0" tabSelected="1" topLeftCell="U1" zoomScale="150" zoomScaleNormal="100" workbookViewId="0">
      <selection activeCell="AB21" sqref="AB21"/>
    </sheetView>
  </sheetViews>
  <sheetFormatPr baseColWidth="10" defaultColWidth="14.33203125" defaultRowHeight="16" x14ac:dyDescent="0.2"/>
  <cols>
    <col min="1" max="1" width="8.6640625" customWidth="1"/>
    <col min="10" max="10" width="19.5" bestFit="1" customWidth="1"/>
  </cols>
  <sheetData>
    <row r="1" spans="1:32" ht="17" thickBot="1" x14ac:dyDescent="0.25">
      <c r="A1" s="113" t="s">
        <v>2</v>
      </c>
      <c r="B1" s="111" t="s">
        <v>3</v>
      </c>
      <c r="C1" s="112"/>
      <c r="D1" s="111" t="s">
        <v>4</v>
      </c>
      <c r="E1" s="112"/>
      <c r="F1" s="111" t="s">
        <v>5</v>
      </c>
      <c r="G1" s="112"/>
      <c r="H1" s="111" t="s">
        <v>6</v>
      </c>
      <c r="I1" s="112"/>
      <c r="J1" s="115" t="s">
        <v>8</v>
      </c>
      <c r="K1" s="115" t="s">
        <v>7</v>
      </c>
      <c r="L1" s="92" t="s">
        <v>61</v>
      </c>
      <c r="M1" s="96" t="s">
        <v>26</v>
      </c>
      <c r="O1" s="92" t="s">
        <v>28</v>
      </c>
      <c r="P1" s="92" t="s">
        <v>29</v>
      </c>
      <c r="Q1" s="92" t="s">
        <v>30</v>
      </c>
      <c r="S1" s="98" t="s">
        <v>25</v>
      </c>
      <c r="T1" s="96" t="s">
        <v>62</v>
      </c>
      <c r="U1" s="96" t="s">
        <v>31</v>
      </c>
      <c r="W1" s="99" t="s">
        <v>25</v>
      </c>
      <c r="X1" s="99" t="s">
        <v>16</v>
      </c>
      <c r="Y1" s="101" t="s">
        <v>39</v>
      </c>
      <c r="Z1" s="101" t="s">
        <v>40</v>
      </c>
      <c r="AA1" s="103" t="s">
        <v>35</v>
      </c>
      <c r="AB1" s="101" t="s">
        <v>41</v>
      </c>
      <c r="AD1" s="105" t="s">
        <v>23</v>
      </c>
      <c r="AE1" s="106"/>
      <c r="AF1" s="107"/>
    </row>
    <row r="2" spans="1:32" ht="17" thickBot="1" x14ac:dyDescent="0.25">
      <c r="A2" s="114"/>
      <c r="B2" s="31" t="s">
        <v>0</v>
      </c>
      <c r="C2" s="32" t="s">
        <v>1</v>
      </c>
      <c r="D2" s="31" t="s">
        <v>0</v>
      </c>
      <c r="E2" s="32" t="s">
        <v>1</v>
      </c>
      <c r="F2" s="31" t="s">
        <v>0</v>
      </c>
      <c r="G2" s="32" t="s">
        <v>1</v>
      </c>
      <c r="H2" s="31" t="s">
        <v>0</v>
      </c>
      <c r="I2" s="32" t="s">
        <v>1</v>
      </c>
      <c r="J2" s="93"/>
      <c r="K2" s="93"/>
      <c r="L2" s="93"/>
      <c r="M2" s="97"/>
      <c r="O2" s="93"/>
      <c r="P2" s="93"/>
      <c r="Q2" s="93"/>
      <c r="S2" s="97"/>
      <c r="T2" s="97"/>
      <c r="U2" s="97"/>
      <c r="W2" s="100"/>
      <c r="X2" s="100"/>
      <c r="Y2" s="102"/>
      <c r="Z2" s="102"/>
      <c r="AA2" s="104"/>
      <c r="AB2" s="102"/>
      <c r="AD2" s="108"/>
      <c r="AE2" s="109"/>
      <c r="AF2" s="110"/>
    </row>
    <row r="3" spans="1:32" ht="17" thickBot="1" x14ac:dyDescent="0.25">
      <c r="A3" s="26">
        <v>42034</v>
      </c>
      <c r="B3" s="27">
        <v>40.400001525878906</v>
      </c>
      <c r="C3" s="28">
        <v>8203785</v>
      </c>
      <c r="D3" s="27">
        <v>19.204999923706055</v>
      </c>
      <c r="E3" s="28">
        <v>544913</v>
      </c>
      <c r="F3" s="27">
        <v>534.52001953125</v>
      </c>
      <c r="G3" s="28">
        <v>340666</v>
      </c>
      <c r="H3" s="27">
        <v>203.60000610351562</v>
      </c>
      <c r="I3" s="28">
        <v>125763</v>
      </c>
      <c r="J3" s="29">
        <f>(B3*C3)+(D3*E3)+(F3*G3)+(H3*I3)</f>
        <v>549596125.18263817</v>
      </c>
      <c r="K3" s="30">
        <f>J3/5495961.2518</f>
        <v>100.00000000048003</v>
      </c>
      <c r="L3" s="30"/>
      <c r="M3" s="48"/>
      <c r="O3" s="49">
        <v>100</v>
      </c>
      <c r="P3" s="51">
        <f>O3</f>
        <v>100</v>
      </c>
      <c r="Q3" s="50">
        <f>(O3/P3)-1</f>
        <v>0</v>
      </c>
      <c r="R3" s="91"/>
      <c r="S3" s="82">
        <v>-3.1E-2</v>
      </c>
      <c r="T3" s="48"/>
      <c r="U3" s="48"/>
      <c r="W3" s="35">
        <f>S3</f>
        <v>-3.1E-2</v>
      </c>
      <c r="X3" s="59"/>
      <c r="Y3" s="48"/>
      <c r="Z3" s="48"/>
      <c r="AA3" s="60">
        <f>AF12</f>
        <v>1.1903248154600947</v>
      </c>
      <c r="AB3" s="81">
        <f>AF13/12</f>
        <v>1.3820811406437613E-2</v>
      </c>
      <c r="AD3" s="116" t="s">
        <v>59</v>
      </c>
      <c r="AE3" s="117"/>
      <c r="AF3" s="88">
        <f>AVERAGE(L4:L122)</f>
        <v>2.5847093134401242E-2</v>
      </c>
    </row>
    <row r="4" spans="1:32" x14ac:dyDescent="0.2">
      <c r="A4" s="26">
        <v>42062</v>
      </c>
      <c r="B4" s="27">
        <v>43.849998474121094</v>
      </c>
      <c r="C4" s="28">
        <v>8203785</v>
      </c>
      <c r="D4" s="27">
        <v>22.059999465942383</v>
      </c>
      <c r="E4" s="28">
        <v>544913</v>
      </c>
      <c r="F4" s="27">
        <v>558.4000244140625</v>
      </c>
      <c r="G4" s="28">
        <v>340666</v>
      </c>
      <c r="H4" s="27">
        <v>203.33999633789062</v>
      </c>
      <c r="I4" s="28">
        <v>125763</v>
      </c>
      <c r="J4" s="29">
        <f t="shared" ref="J4:J67" si="0">(B4*C4)+(D4*E4)+(F4*G4)+(H4*I4)</f>
        <v>587557290.89748573</v>
      </c>
      <c r="K4" s="30">
        <f t="shared" ref="K4:K67" si="1">J4/5495961.2518</f>
        <v>106.9071021388757</v>
      </c>
      <c r="L4" s="35">
        <f>(K4/K3)-1</f>
        <v>6.9071021383625197E-2</v>
      </c>
      <c r="M4" s="35" t="str">
        <f>IF(L4&lt;0,L4,"")</f>
        <v/>
      </c>
      <c r="O4" s="29">
        <f>O3*(1+L4)</f>
        <v>106.90710213836252</v>
      </c>
      <c r="P4" s="52">
        <f>IF(O4&gt;P3,O4,P3)</f>
        <v>106.90710213836252</v>
      </c>
      <c r="Q4" s="35">
        <f t="shared" ref="Q4:Q67" si="2">(O4/P4)-1</f>
        <v>0</v>
      </c>
      <c r="R4" s="91"/>
      <c r="S4" s="82">
        <v>5.4899999999999997E-2</v>
      </c>
      <c r="T4" s="34">
        <f>L4</f>
        <v>6.9071021383625197E-2</v>
      </c>
      <c r="U4" s="34">
        <f>T4-S4</f>
        <v>1.41710213836252E-2</v>
      </c>
      <c r="W4" s="35">
        <f t="shared" ref="W4:X67" si="3">S4</f>
        <v>5.4899999999999997E-2</v>
      </c>
      <c r="X4" s="34">
        <f t="shared" si="3"/>
        <v>6.9071021383625197E-2</v>
      </c>
      <c r="Y4" s="35">
        <f>($AA$3*W4)+$AB$3</f>
        <v>7.9169643775196807E-2</v>
      </c>
      <c r="Z4" s="34">
        <f>X4-Y4</f>
        <v>-1.009862239157161E-2</v>
      </c>
      <c r="AD4" s="116" t="s">
        <v>18</v>
      </c>
      <c r="AE4" s="117"/>
      <c r="AF4" s="89">
        <f>STDEV(L4:L122)</f>
        <v>6.8729783440408559E-2</v>
      </c>
    </row>
    <row r="5" spans="1:32" x14ac:dyDescent="0.2">
      <c r="A5" s="26">
        <v>42094</v>
      </c>
      <c r="B5" s="27">
        <v>40.654998779296875</v>
      </c>
      <c r="C5" s="28">
        <v>8113000</v>
      </c>
      <c r="D5" s="27">
        <v>20.924999237060547</v>
      </c>
      <c r="E5" s="28">
        <v>549840</v>
      </c>
      <c r="F5" s="27">
        <v>548</v>
      </c>
      <c r="G5" s="28">
        <v>341652</v>
      </c>
      <c r="H5" s="27">
        <v>188.77000427246094</v>
      </c>
      <c r="I5" s="28">
        <v>126362</v>
      </c>
      <c r="J5" s="29">
        <f t="shared" si="0"/>
        <v>552418057.95681763</v>
      </c>
      <c r="K5" s="30">
        <f t="shared" si="1"/>
        <v>100.51345572640153</v>
      </c>
      <c r="L5" s="35">
        <f t="shared" ref="L5:L68" si="4">(K5/K4)-1</f>
        <v>-5.9805628293699509E-2</v>
      </c>
      <c r="M5" s="35">
        <f t="shared" ref="M5:M68" si="5">IF(L5&lt;0,L5,"")</f>
        <v>-5.9805628293699509E-2</v>
      </c>
      <c r="O5" s="29">
        <f t="shared" ref="O5:O68" si="6">O4*(1+L5)</f>
        <v>100.51345572591904</v>
      </c>
      <c r="P5" s="52">
        <f t="shared" ref="P5:P68" si="7">IF(O5&gt;P4,O5,P4)</f>
        <v>106.90710213836252</v>
      </c>
      <c r="Q5" s="35">
        <f t="shared" si="2"/>
        <v>-5.9805628293699509E-2</v>
      </c>
      <c r="R5" s="91"/>
      <c r="S5" s="82">
        <v>-1.7399999999999999E-2</v>
      </c>
      <c r="T5" s="34">
        <f t="shared" ref="T5:T68" si="8">L5</f>
        <v>-5.9805628293699509E-2</v>
      </c>
      <c r="U5" s="34">
        <f t="shared" ref="U5:U68" si="9">T5-S5</f>
        <v>-4.240562829369951E-2</v>
      </c>
      <c r="W5" s="35">
        <f t="shared" si="3"/>
        <v>-1.7399999999999999E-2</v>
      </c>
      <c r="X5" s="34">
        <f t="shared" si="3"/>
        <v>-5.9805628293699509E-2</v>
      </c>
      <c r="Y5" s="35">
        <f t="shared" ref="Y5:Y68" si="10">($AA$3*W5)+$AB$3</f>
        <v>-6.8908403825680333E-3</v>
      </c>
      <c r="Z5" s="34">
        <f t="shared" ref="Z5:Z68" si="11">X5-Y5</f>
        <v>-5.2914787911131474E-2</v>
      </c>
      <c r="AD5" s="116" t="s">
        <v>19</v>
      </c>
      <c r="AE5" s="117"/>
      <c r="AF5" s="30">
        <f>AF3*12</f>
        <v>0.3101651176128149</v>
      </c>
    </row>
    <row r="6" spans="1:32" x14ac:dyDescent="0.2">
      <c r="A6" s="26">
        <v>42124</v>
      </c>
      <c r="B6" s="27">
        <v>48.639999389648438</v>
      </c>
      <c r="C6" s="28">
        <v>8089575</v>
      </c>
      <c r="D6" s="27">
        <v>22.194999694824219</v>
      </c>
      <c r="E6" s="28">
        <v>538000</v>
      </c>
      <c r="F6" s="27">
        <v>537.34002685546875</v>
      </c>
      <c r="G6" s="28">
        <v>342630</v>
      </c>
      <c r="H6" s="27">
        <v>226.05000305175781</v>
      </c>
      <c r="I6" s="28">
        <v>126404</v>
      </c>
      <c r="J6" s="29">
        <f t="shared" si="0"/>
        <v>618100270.88557434</v>
      </c>
      <c r="K6" s="30">
        <f t="shared" si="1"/>
        <v>112.46445208891136</v>
      </c>
      <c r="L6" s="35">
        <f t="shared" si="4"/>
        <v>0.11889946750055569</v>
      </c>
      <c r="M6" s="35" t="str">
        <f t="shared" si="5"/>
        <v/>
      </c>
      <c r="O6" s="29">
        <f t="shared" si="6"/>
        <v>112.4644520883715</v>
      </c>
      <c r="P6" s="52">
        <f t="shared" si="7"/>
        <v>112.4644520883715</v>
      </c>
      <c r="Q6" s="35">
        <f t="shared" si="2"/>
        <v>0</v>
      </c>
      <c r="R6" s="91"/>
      <c r="S6" s="82">
        <v>8.5000000000000006E-3</v>
      </c>
      <c r="T6" s="34">
        <f t="shared" si="8"/>
        <v>0.11889946750055569</v>
      </c>
      <c r="U6" s="34">
        <f t="shared" si="9"/>
        <v>0.11039946750055568</v>
      </c>
      <c r="W6" s="35">
        <f t="shared" si="3"/>
        <v>8.5000000000000006E-3</v>
      </c>
      <c r="X6" s="34">
        <f t="shared" si="3"/>
        <v>0.11889946750055569</v>
      </c>
      <c r="Y6" s="35">
        <f t="shared" si="10"/>
        <v>2.3938572337848421E-2</v>
      </c>
      <c r="Z6" s="34">
        <f t="shared" si="11"/>
        <v>9.4960895162707268E-2</v>
      </c>
      <c r="AD6" s="118" t="s">
        <v>20</v>
      </c>
      <c r="AE6" s="119"/>
      <c r="AF6" s="133">
        <f>AF4*SQRT(12)</f>
        <v>0.23808695382398737</v>
      </c>
    </row>
    <row r="7" spans="1:32" x14ac:dyDescent="0.2">
      <c r="A7" s="26">
        <v>42153</v>
      </c>
      <c r="B7" s="27">
        <v>46.860000610351562</v>
      </c>
      <c r="C7" s="28">
        <v>8089575</v>
      </c>
      <c r="D7" s="27">
        <v>22.129999160766602</v>
      </c>
      <c r="E7" s="28">
        <v>538000</v>
      </c>
      <c r="F7" s="27">
        <v>532.1099853515625</v>
      </c>
      <c r="G7" s="28">
        <v>342630</v>
      </c>
      <c r="H7" s="27">
        <v>250.80000305175781</v>
      </c>
      <c r="I7" s="28">
        <v>126404</v>
      </c>
      <c r="J7" s="29">
        <f t="shared" si="0"/>
        <v>605002396.85273743</v>
      </c>
      <c r="K7" s="30">
        <f t="shared" si="1"/>
        <v>110.08127043373734</v>
      </c>
      <c r="L7" s="35">
        <f t="shared" si="4"/>
        <v>-2.1190532749761126E-2</v>
      </c>
      <c r="M7" s="35">
        <f t="shared" si="5"/>
        <v>-2.1190532749761126E-2</v>
      </c>
      <c r="O7" s="29">
        <f t="shared" si="6"/>
        <v>110.08127043320893</v>
      </c>
      <c r="P7" s="52">
        <f t="shared" si="7"/>
        <v>112.4644520883715</v>
      </c>
      <c r="Q7" s="35">
        <f t="shared" si="2"/>
        <v>-2.1190532749761126E-2</v>
      </c>
      <c r="R7" s="91"/>
      <c r="S7" s="82">
        <v>1.0500000000000001E-2</v>
      </c>
      <c r="T7" s="34">
        <f t="shared" si="8"/>
        <v>-2.1190532749761126E-2</v>
      </c>
      <c r="U7" s="34">
        <f t="shared" si="9"/>
        <v>-3.1690532749761129E-2</v>
      </c>
      <c r="W7" s="35">
        <f t="shared" si="3"/>
        <v>1.0500000000000001E-2</v>
      </c>
      <c r="X7" s="34">
        <f t="shared" si="3"/>
        <v>-2.1190532749761126E-2</v>
      </c>
      <c r="Y7" s="35">
        <f t="shared" si="10"/>
        <v>2.6319221968768611E-2</v>
      </c>
      <c r="Z7" s="34">
        <f t="shared" si="11"/>
        <v>-4.7509754718529737E-2</v>
      </c>
      <c r="AD7" s="116" t="s">
        <v>21</v>
      </c>
      <c r="AE7" s="117"/>
      <c r="AF7" s="87">
        <v>0.03</v>
      </c>
    </row>
    <row r="8" spans="1:32" x14ac:dyDescent="0.2">
      <c r="A8" s="26">
        <v>42185</v>
      </c>
      <c r="B8" s="27">
        <v>44.150001525878906</v>
      </c>
      <c r="C8" s="28">
        <v>8027000</v>
      </c>
      <c r="D8" s="27">
        <v>20.110000610351562</v>
      </c>
      <c r="E8" s="28">
        <v>538000</v>
      </c>
      <c r="F8" s="27">
        <v>520.510009765625</v>
      </c>
      <c r="G8" s="28">
        <v>343908</v>
      </c>
      <c r="H8" s="27">
        <v>268.260009765625</v>
      </c>
      <c r="I8" s="28">
        <v>127101</v>
      </c>
      <c r="J8" s="29">
        <f t="shared" si="0"/>
        <v>578314914.51629639</v>
      </c>
      <c r="K8" s="30">
        <f t="shared" si="1"/>
        <v>105.22543519150369</v>
      </c>
      <c r="L8" s="35">
        <f t="shared" si="4"/>
        <v>-4.4111366294201648E-2</v>
      </c>
      <c r="M8" s="35">
        <f t="shared" si="5"/>
        <v>-4.4111366294201648E-2</v>
      </c>
      <c r="O8" s="29">
        <f t="shared" si="6"/>
        <v>105.22543519099858</v>
      </c>
      <c r="P8" s="52">
        <f t="shared" si="7"/>
        <v>112.4644520883715</v>
      </c>
      <c r="Q8" s="35">
        <f t="shared" si="2"/>
        <v>-6.4367155691868683E-2</v>
      </c>
      <c r="R8" s="91"/>
      <c r="S8" s="82">
        <v>-2.1000000000000001E-2</v>
      </c>
      <c r="T8" s="34">
        <f t="shared" si="8"/>
        <v>-4.4111366294201648E-2</v>
      </c>
      <c r="U8" s="34">
        <f t="shared" si="9"/>
        <v>-2.3111366294201647E-2</v>
      </c>
      <c r="W8" s="35">
        <f t="shared" si="3"/>
        <v>-2.1000000000000001E-2</v>
      </c>
      <c r="X8" s="34">
        <f t="shared" si="3"/>
        <v>-4.4111366294201648E-2</v>
      </c>
      <c r="Y8" s="35">
        <f t="shared" si="10"/>
        <v>-1.1176009718224378E-2</v>
      </c>
      <c r="Z8" s="34">
        <f t="shared" si="11"/>
        <v>-3.2935356575977272E-2</v>
      </c>
      <c r="AD8" s="118" t="s">
        <v>22</v>
      </c>
      <c r="AE8" s="119"/>
      <c r="AF8" s="63">
        <f>(AF5-AF7)/AF6</f>
        <v>1.1767344372003476</v>
      </c>
    </row>
    <row r="9" spans="1:32" x14ac:dyDescent="0.2">
      <c r="A9" s="26">
        <v>42216</v>
      </c>
      <c r="B9" s="27">
        <v>46.700000762939453</v>
      </c>
      <c r="C9" s="28">
        <v>7997981</v>
      </c>
      <c r="D9" s="27">
        <v>19.950000762939453</v>
      </c>
      <c r="E9" s="28">
        <v>539000</v>
      </c>
      <c r="F9" s="27">
        <v>625.6099853515625</v>
      </c>
      <c r="G9" s="28">
        <v>343929</v>
      </c>
      <c r="H9" s="27">
        <v>266.14999389648438</v>
      </c>
      <c r="I9" s="28">
        <v>127142</v>
      </c>
      <c r="J9" s="29">
        <f t="shared" si="0"/>
        <v>633263028.38916397</v>
      </c>
      <c r="K9" s="30">
        <f t="shared" si="1"/>
        <v>115.22334299241319</v>
      </c>
      <c r="L9" s="35">
        <f t="shared" si="4"/>
        <v>9.5014173927757462E-2</v>
      </c>
      <c r="M9" s="35" t="str">
        <f t="shared" si="5"/>
        <v/>
      </c>
      <c r="O9" s="29">
        <f t="shared" si="6"/>
        <v>115.22334299186009</v>
      </c>
      <c r="P9" s="52">
        <f t="shared" si="7"/>
        <v>115.22334299186009</v>
      </c>
      <c r="Q9" s="35">
        <f t="shared" si="2"/>
        <v>0</v>
      </c>
      <c r="R9" s="91"/>
      <c r="S9" s="82">
        <v>1.9699999999999999E-2</v>
      </c>
      <c r="T9" s="34">
        <f t="shared" si="8"/>
        <v>9.5014173927757462E-2</v>
      </c>
      <c r="U9" s="34">
        <f t="shared" si="9"/>
        <v>7.5314173927757466E-2</v>
      </c>
      <c r="W9" s="35">
        <f t="shared" si="3"/>
        <v>1.9699999999999999E-2</v>
      </c>
      <c r="X9" s="34">
        <f t="shared" si="3"/>
        <v>9.5014173927757462E-2</v>
      </c>
      <c r="Y9" s="35">
        <f t="shared" si="10"/>
        <v>3.7270210271001476E-2</v>
      </c>
      <c r="Z9" s="34">
        <f t="shared" si="11"/>
        <v>5.7743963656755985E-2</v>
      </c>
      <c r="AD9" s="116" t="s">
        <v>32</v>
      </c>
      <c r="AE9" s="117"/>
      <c r="AF9" s="35">
        <f>STDEV(M4:M122)*SQRT(12)</f>
        <v>0.12687272405191627</v>
      </c>
    </row>
    <row r="10" spans="1:32" x14ac:dyDescent="0.2">
      <c r="A10" s="26">
        <v>42247</v>
      </c>
      <c r="B10" s="27">
        <v>43.520000457763672</v>
      </c>
      <c r="C10" s="28">
        <v>7997981</v>
      </c>
      <c r="D10" s="27">
        <v>22.479999542236328</v>
      </c>
      <c r="E10" s="28">
        <v>539000</v>
      </c>
      <c r="F10" s="27">
        <v>618.25</v>
      </c>
      <c r="G10" s="28">
        <v>343929</v>
      </c>
      <c r="H10" s="27">
        <v>249.05999755859375</v>
      </c>
      <c r="I10" s="28">
        <v>129837</v>
      </c>
      <c r="J10" s="29">
        <f t="shared" si="0"/>
        <v>605160163.68746567</v>
      </c>
      <c r="K10" s="30">
        <f t="shared" si="1"/>
        <v>110.10997639207659</v>
      </c>
      <c r="L10" s="35">
        <f t="shared" si="4"/>
        <v>-4.4377870555910581E-2</v>
      </c>
      <c r="M10" s="35">
        <f t="shared" si="5"/>
        <v>-4.4377870555910581E-2</v>
      </c>
      <c r="O10" s="29">
        <f t="shared" si="6"/>
        <v>110.10997639154805</v>
      </c>
      <c r="P10" s="52">
        <f t="shared" si="7"/>
        <v>115.22334299186009</v>
      </c>
      <c r="Q10" s="35">
        <f t="shared" si="2"/>
        <v>-4.4377870555910581E-2</v>
      </c>
      <c r="R10" s="91"/>
      <c r="S10" s="82">
        <v>-6.2600000000000003E-2</v>
      </c>
      <c r="T10" s="34">
        <f t="shared" si="8"/>
        <v>-4.4377870555910581E-2</v>
      </c>
      <c r="U10" s="34">
        <f t="shared" si="9"/>
        <v>1.8222129444089422E-2</v>
      </c>
      <c r="W10" s="35">
        <f t="shared" si="3"/>
        <v>-6.2600000000000003E-2</v>
      </c>
      <c r="X10" s="34">
        <f t="shared" si="3"/>
        <v>-4.4377870555910581E-2</v>
      </c>
      <c r="Y10" s="35">
        <f t="shared" si="10"/>
        <v>-6.0693522041364321E-2</v>
      </c>
      <c r="Z10" s="34">
        <f t="shared" si="11"/>
        <v>1.631565148545374E-2</v>
      </c>
      <c r="AD10" s="116" t="s">
        <v>33</v>
      </c>
      <c r="AE10" s="117"/>
      <c r="AF10" s="55">
        <f>(AF5-AF7)/AF9</f>
        <v>2.2082375838180277</v>
      </c>
    </row>
    <row r="11" spans="1:32" x14ac:dyDescent="0.2">
      <c r="A11" s="26">
        <v>42277</v>
      </c>
      <c r="B11" s="27">
        <v>44.259998321533203</v>
      </c>
      <c r="C11" s="28">
        <v>7986000</v>
      </c>
      <c r="D11" s="27">
        <v>24.649999618530273</v>
      </c>
      <c r="E11" s="28">
        <v>539000</v>
      </c>
      <c r="F11" s="27">
        <v>608.41998291015625</v>
      </c>
      <c r="G11" s="28">
        <v>345489</v>
      </c>
      <c r="H11" s="27">
        <v>248.39999389648438</v>
      </c>
      <c r="I11" s="28">
        <v>130901</v>
      </c>
      <c r="J11" s="29">
        <f t="shared" si="0"/>
        <v>609464915.46684265</v>
      </c>
      <c r="K11" s="30">
        <f t="shared" si="1"/>
        <v>110.89323369360271</v>
      </c>
      <c r="L11" s="35">
        <f t="shared" si="4"/>
        <v>7.113409040586216E-3</v>
      </c>
      <c r="M11" s="35" t="str">
        <f t="shared" si="5"/>
        <v/>
      </c>
      <c r="O11" s="29">
        <f t="shared" si="6"/>
        <v>110.89323369307041</v>
      </c>
      <c r="P11" s="52">
        <f t="shared" si="7"/>
        <v>115.22334299186009</v>
      </c>
      <c r="Q11" s="35">
        <f t="shared" si="2"/>
        <v>-3.7580139460938744E-2</v>
      </c>
      <c r="R11" s="91"/>
      <c r="S11" s="82">
        <v>-2.64E-2</v>
      </c>
      <c r="T11" s="34">
        <f t="shared" si="8"/>
        <v>7.113409040586216E-3</v>
      </c>
      <c r="U11" s="34">
        <f t="shared" si="9"/>
        <v>3.3513409040586216E-2</v>
      </c>
      <c r="W11" s="35">
        <f t="shared" si="3"/>
        <v>-2.64E-2</v>
      </c>
      <c r="X11" s="34">
        <f t="shared" si="3"/>
        <v>7.113409040586216E-3</v>
      </c>
      <c r="Y11" s="35">
        <f t="shared" si="10"/>
        <v>-1.7603763721708889E-2</v>
      </c>
      <c r="Z11" s="34">
        <f t="shared" si="11"/>
        <v>2.4717172762295105E-2</v>
      </c>
      <c r="AA11" s="61"/>
      <c r="AB11" s="61"/>
      <c r="AD11" s="118" t="s">
        <v>34</v>
      </c>
      <c r="AE11" s="119"/>
      <c r="AF11" s="134">
        <f>MIN(Q3:Q122)</f>
        <v>-0.42756633102418728</v>
      </c>
    </row>
    <row r="12" spans="1:32" x14ac:dyDescent="0.2">
      <c r="A12" s="26">
        <v>42307</v>
      </c>
      <c r="B12" s="27">
        <v>52.639999389648438</v>
      </c>
      <c r="C12" s="28">
        <v>7987913</v>
      </c>
      <c r="D12" s="27">
        <v>28.370000839233398</v>
      </c>
      <c r="E12" s="28">
        <v>538000</v>
      </c>
      <c r="F12" s="27">
        <v>710.80999755859375</v>
      </c>
      <c r="G12" s="28">
        <v>345504</v>
      </c>
      <c r="H12" s="27">
        <v>206.92999267578125</v>
      </c>
      <c r="I12" s="28">
        <v>130951</v>
      </c>
      <c r="J12" s="29">
        <f t="shared" si="0"/>
        <v>708432182.76344299</v>
      </c>
      <c r="K12" s="30">
        <f t="shared" si="1"/>
        <v>128.90050535407653</v>
      </c>
      <c r="L12" s="35">
        <f t="shared" si="4"/>
        <v>0.1623838629345753</v>
      </c>
      <c r="M12" s="35" t="str">
        <f t="shared" si="5"/>
        <v/>
      </c>
      <c r="O12" s="29">
        <f t="shared" si="6"/>
        <v>128.90050535345779</v>
      </c>
      <c r="P12" s="52">
        <f t="shared" si="7"/>
        <v>128.90050535345779</v>
      </c>
      <c r="Q12" s="35">
        <f t="shared" si="2"/>
        <v>0</v>
      </c>
      <c r="R12" s="91"/>
      <c r="S12" s="82">
        <v>8.3000000000000004E-2</v>
      </c>
      <c r="T12" s="34">
        <f t="shared" si="8"/>
        <v>0.1623838629345753</v>
      </c>
      <c r="U12" s="34">
        <f t="shared" si="9"/>
        <v>7.9383862934575292E-2</v>
      </c>
      <c r="W12" s="35">
        <f t="shared" si="3"/>
        <v>8.3000000000000004E-2</v>
      </c>
      <c r="X12" s="34">
        <f t="shared" si="3"/>
        <v>0.1623838629345753</v>
      </c>
      <c r="Y12" s="35">
        <f t="shared" si="10"/>
        <v>0.11261777108962548</v>
      </c>
      <c r="Z12" s="34">
        <f t="shared" si="11"/>
        <v>4.9766091844949817E-2</v>
      </c>
      <c r="AD12" s="116" t="s">
        <v>35</v>
      </c>
      <c r="AE12" s="117"/>
      <c r="AF12" s="55">
        <f>SLOPE(L4:L122,S4:S122)</f>
        <v>1.1903248154600947</v>
      </c>
    </row>
    <row r="13" spans="1:32" x14ac:dyDescent="0.2">
      <c r="A13" s="26">
        <v>42338</v>
      </c>
      <c r="B13" s="27">
        <v>54.349998474121094</v>
      </c>
      <c r="C13" s="28">
        <v>7987913</v>
      </c>
      <c r="D13" s="27">
        <v>31.719999313354492</v>
      </c>
      <c r="E13" s="28">
        <v>538000</v>
      </c>
      <c r="F13" s="27">
        <v>742.5999755859375</v>
      </c>
      <c r="G13" s="28">
        <v>345504</v>
      </c>
      <c r="H13" s="27">
        <v>230.25999450683594</v>
      </c>
      <c r="I13" s="28">
        <v>130951</v>
      </c>
      <c r="J13" s="29">
        <f t="shared" si="0"/>
        <v>737932457.49750519</v>
      </c>
      <c r="K13" s="30">
        <f t="shared" si="1"/>
        <v>134.26813321433491</v>
      </c>
      <c r="L13" s="35">
        <f t="shared" si="4"/>
        <v>4.1641635504174657E-2</v>
      </c>
      <c r="M13" s="35" t="str">
        <f t="shared" si="5"/>
        <v/>
      </c>
      <c r="O13" s="29">
        <f t="shared" si="6"/>
        <v>134.26813321369039</v>
      </c>
      <c r="P13" s="52">
        <f t="shared" si="7"/>
        <v>134.26813321369039</v>
      </c>
      <c r="Q13" s="35">
        <f t="shared" si="2"/>
        <v>0</v>
      </c>
      <c r="R13" s="91"/>
      <c r="S13" s="82">
        <v>5.0000000000000001E-4</v>
      </c>
      <c r="T13" s="34">
        <f t="shared" si="8"/>
        <v>4.1641635504174657E-2</v>
      </c>
      <c r="U13" s="34">
        <f t="shared" si="9"/>
        <v>4.1141635504174656E-2</v>
      </c>
      <c r="W13" s="35">
        <f t="shared" si="3"/>
        <v>5.0000000000000001E-4</v>
      </c>
      <c r="X13" s="34">
        <f t="shared" si="3"/>
        <v>4.1641635504174657E-2</v>
      </c>
      <c r="Y13" s="35">
        <f t="shared" si="10"/>
        <v>1.4415973814167661E-2</v>
      </c>
      <c r="Z13" s="34">
        <f t="shared" si="11"/>
        <v>2.7225661690006994E-2</v>
      </c>
      <c r="AD13" s="116" t="s">
        <v>36</v>
      </c>
      <c r="AE13" s="117"/>
      <c r="AF13" s="35">
        <f>INTERCEPT(L4:L122,S4:S122)*12</f>
        <v>0.16584973687725135</v>
      </c>
    </row>
    <row r="14" spans="1:32" x14ac:dyDescent="0.2">
      <c r="A14" s="26">
        <v>42369</v>
      </c>
      <c r="B14" s="27">
        <v>55.479999542236328</v>
      </c>
      <c r="C14" s="28">
        <v>7925000</v>
      </c>
      <c r="D14" s="27">
        <v>32.959999084472656</v>
      </c>
      <c r="E14" s="28">
        <v>538000</v>
      </c>
      <c r="F14" s="27">
        <v>758.8800048828125</v>
      </c>
      <c r="G14" s="28">
        <v>344756</v>
      </c>
      <c r="H14" s="27">
        <v>240.00999450683594</v>
      </c>
      <c r="I14" s="28">
        <v>131425</v>
      </c>
      <c r="J14" s="29">
        <f t="shared" si="0"/>
        <v>750583224.37110901</v>
      </c>
      <c r="K14" s="30">
        <f t="shared" si="1"/>
        <v>136.56996292055064</v>
      </c>
      <c r="L14" s="35">
        <f t="shared" si="4"/>
        <v>1.714352952640863E-2</v>
      </c>
      <c r="M14" s="35" t="str">
        <f t="shared" si="5"/>
        <v/>
      </c>
      <c r="O14" s="29">
        <f t="shared" si="6"/>
        <v>136.56996291989506</v>
      </c>
      <c r="P14" s="52">
        <f t="shared" si="7"/>
        <v>136.56996291989506</v>
      </c>
      <c r="Q14" s="35">
        <f t="shared" si="2"/>
        <v>0</v>
      </c>
      <c r="R14" s="91"/>
      <c r="S14" s="82">
        <v>-1.7500000000000002E-2</v>
      </c>
      <c r="T14" s="34">
        <f t="shared" si="8"/>
        <v>1.714352952640863E-2</v>
      </c>
      <c r="U14" s="34">
        <f t="shared" si="9"/>
        <v>3.4643529526408631E-2</v>
      </c>
      <c r="W14" s="35">
        <f t="shared" si="3"/>
        <v>-1.7500000000000002E-2</v>
      </c>
      <c r="X14" s="34">
        <f t="shared" si="3"/>
        <v>1.714352952640863E-2</v>
      </c>
      <c r="Y14" s="35">
        <f t="shared" si="10"/>
        <v>-7.0098728641140463E-3</v>
      </c>
      <c r="Z14" s="34">
        <f t="shared" si="11"/>
        <v>2.4153402390522674E-2</v>
      </c>
      <c r="AD14" s="116" t="s">
        <v>37</v>
      </c>
      <c r="AE14" s="117"/>
      <c r="AF14" s="34">
        <f>AVERAGE(U4:U122)*12</f>
        <v>0.18892478147836111</v>
      </c>
    </row>
    <row r="15" spans="1:32" x14ac:dyDescent="0.2">
      <c r="A15" s="26">
        <v>42398</v>
      </c>
      <c r="B15" s="27">
        <v>55.090000152587891</v>
      </c>
      <c r="C15" s="28">
        <v>7909303</v>
      </c>
      <c r="D15" s="27">
        <v>29.290000915527344</v>
      </c>
      <c r="E15" s="28">
        <v>538513</v>
      </c>
      <c r="F15" s="27">
        <v>742.95001220703125</v>
      </c>
      <c r="G15" s="28">
        <v>344756</v>
      </c>
      <c r="H15" s="27">
        <v>191.19999694824219</v>
      </c>
      <c r="I15" s="28">
        <v>132056</v>
      </c>
      <c r="J15" s="29">
        <f t="shared" si="0"/>
        <v>732882130.94533157</v>
      </c>
      <c r="K15" s="30">
        <f t="shared" si="1"/>
        <v>133.34921724662871</v>
      </c>
      <c r="L15" s="35">
        <f t="shared" si="4"/>
        <v>-2.3583118901449707E-2</v>
      </c>
      <c r="M15" s="35">
        <f t="shared" si="5"/>
        <v>-2.3583118901449707E-2</v>
      </c>
      <c r="O15" s="29">
        <f t="shared" si="6"/>
        <v>133.3492172459886</v>
      </c>
      <c r="P15" s="52">
        <f t="shared" si="7"/>
        <v>136.56996291989506</v>
      </c>
      <c r="Q15" s="35">
        <f t="shared" si="2"/>
        <v>-2.3583118901449707E-2</v>
      </c>
      <c r="R15" s="91"/>
      <c r="S15" s="82">
        <v>-5.0700000000000002E-2</v>
      </c>
      <c r="T15" s="34">
        <f t="shared" si="8"/>
        <v>-2.3583118901449707E-2</v>
      </c>
      <c r="U15" s="34">
        <f t="shared" si="9"/>
        <v>2.7116881098550295E-2</v>
      </c>
      <c r="W15" s="35">
        <f t="shared" si="3"/>
        <v>-5.0700000000000002E-2</v>
      </c>
      <c r="X15" s="34">
        <f t="shared" si="3"/>
        <v>-2.3583118901449707E-2</v>
      </c>
      <c r="Y15" s="35">
        <f t="shared" si="10"/>
        <v>-4.6528656737389193E-2</v>
      </c>
      <c r="Z15" s="34">
        <f t="shared" si="11"/>
        <v>2.2945537835939486E-2</v>
      </c>
      <c r="AD15" s="116" t="s">
        <v>42</v>
      </c>
      <c r="AE15" s="117"/>
      <c r="AF15" s="35">
        <f>STDEV(U4:U122)*SQRT(12)</f>
        <v>0.15542626942271817</v>
      </c>
    </row>
    <row r="16" spans="1:32" x14ac:dyDescent="0.2">
      <c r="A16" s="26">
        <v>42429</v>
      </c>
      <c r="B16" s="27">
        <v>50.880001068115234</v>
      </c>
      <c r="C16" s="28">
        <v>7909303</v>
      </c>
      <c r="D16" s="27">
        <v>31.360000610351562</v>
      </c>
      <c r="E16" s="28">
        <v>538513</v>
      </c>
      <c r="F16" s="27">
        <v>697.77001953125</v>
      </c>
      <c r="G16" s="28">
        <v>345544</v>
      </c>
      <c r="H16" s="27">
        <v>191.92999267578125</v>
      </c>
      <c r="I16" s="28">
        <v>132056</v>
      </c>
      <c r="J16" s="29">
        <f t="shared" si="0"/>
        <v>685768863.8384285</v>
      </c>
      <c r="K16" s="30">
        <f t="shared" si="1"/>
        <v>124.77687385693088</v>
      </c>
      <c r="L16" s="35">
        <f t="shared" si="4"/>
        <v>-6.4284917202350966E-2</v>
      </c>
      <c r="M16" s="35">
        <f t="shared" si="5"/>
        <v>-6.4284917202350966E-2</v>
      </c>
      <c r="O16" s="29">
        <f t="shared" si="6"/>
        <v>124.7768738563319</v>
      </c>
      <c r="P16" s="52">
        <f t="shared" si="7"/>
        <v>136.56996291989506</v>
      </c>
      <c r="Q16" s="35">
        <f t="shared" si="2"/>
        <v>-8.6351997257847812E-2</v>
      </c>
      <c r="R16" s="91"/>
      <c r="S16" s="82">
        <v>-4.1000000000000003E-3</v>
      </c>
      <c r="T16" s="34">
        <f t="shared" si="8"/>
        <v>-6.4284917202350966E-2</v>
      </c>
      <c r="U16" s="34">
        <f t="shared" si="9"/>
        <v>-6.0184917202350967E-2</v>
      </c>
      <c r="W16" s="35">
        <f t="shared" si="3"/>
        <v>-4.1000000000000003E-3</v>
      </c>
      <c r="X16" s="34">
        <f t="shared" si="3"/>
        <v>-6.4284917202350966E-2</v>
      </c>
      <c r="Y16" s="35">
        <f t="shared" si="10"/>
        <v>8.9404796630512245E-3</v>
      </c>
      <c r="Z16" s="34">
        <f t="shared" si="11"/>
        <v>-7.3225396865402193E-2</v>
      </c>
      <c r="AD16" s="116" t="s">
        <v>43</v>
      </c>
      <c r="AE16" s="117"/>
      <c r="AF16" s="55">
        <f>AF14/AF15</f>
        <v>1.2155267071651568</v>
      </c>
    </row>
    <row r="17" spans="1:32" x14ac:dyDescent="0.2">
      <c r="A17" s="26">
        <v>42460</v>
      </c>
      <c r="B17" s="27">
        <v>55.229999542236328</v>
      </c>
      <c r="C17" s="28">
        <v>7870000</v>
      </c>
      <c r="D17" s="27">
        <v>35.630001068115234</v>
      </c>
      <c r="E17" s="28">
        <v>542000</v>
      </c>
      <c r="F17" s="27">
        <v>744.95001220703125</v>
      </c>
      <c r="G17" s="28">
        <v>343683</v>
      </c>
      <c r="H17" s="27">
        <v>229.77000427246094</v>
      </c>
      <c r="I17" s="28">
        <v>133858</v>
      </c>
      <c r="J17" s="29">
        <f t="shared" si="0"/>
        <v>740754765.25357056</v>
      </c>
      <c r="K17" s="30">
        <f t="shared" si="1"/>
        <v>134.78165716888262</v>
      </c>
      <c r="L17" s="35">
        <f t="shared" si="4"/>
        <v>8.0181391011793002E-2</v>
      </c>
      <c r="M17" s="35" t="str">
        <f t="shared" si="5"/>
        <v/>
      </c>
      <c r="O17" s="29">
        <f t="shared" si="6"/>
        <v>134.78165716823563</v>
      </c>
      <c r="P17" s="52">
        <f t="shared" si="7"/>
        <v>136.56996291989506</v>
      </c>
      <c r="Q17" s="35">
        <f t="shared" si="2"/>
        <v>-1.309442950283557E-2</v>
      </c>
      <c r="R17" s="91"/>
      <c r="S17" s="82">
        <v>6.6000000000000003E-2</v>
      </c>
      <c r="T17" s="34">
        <f t="shared" si="8"/>
        <v>8.0181391011793002E-2</v>
      </c>
      <c r="U17" s="34">
        <f t="shared" si="9"/>
        <v>1.4181391011792999E-2</v>
      </c>
      <c r="W17" s="35">
        <f t="shared" si="3"/>
        <v>6.6000000000000003E-2</v>
      </c>
      <c r="X17" s="34">
        <f t="shared" si="3"/>
        <v>8.0181391011793002E-2</v>
      </c>
      <c r="Y17" s="35">
        <f t="shared" si="10"/>
        <v>9.2382249226803867E-2</v>
      </c>
      <c r="Z17" s="34">
        <f t="shared" si="11"/>
        <v>-1.2200858215010865E-2</v>
      </c>
      <c r="AD17" s="116" t="s">
        <v>44</v>
      </c>
      <c r="AE17" s="117"/>
      <c r="AF17" s="55">
        <f>(AF5-AF7)/AF12</f>
        <v>0.23536862709572517</v>
      </c>
    </row>
    <row r="18" spans="1:32" x14ac:dyDescent="0.2">
      <c r="A18" s="26">
        <v>42489</v>
      </c>
      <c r="B18" s="27">
        <v>49.869998931884766</v>
      </c>
      <c r="C18" s="28">
        <v>7860467</v>
      </c>
      <c r="D18" s="27">
        <v>35.529998779296875</v>
      </c>
      <c r="E18" s="28">
        <v>534000</v>
      </c>
      <c r="F18" s="27">
        <v>693.010009765625</v>
      </c>
      <c r="G18" s="28">
        <v>343440</v>
      </c>
      <c r="H18" s="27">
        <v>240.75999450683594</v>
      </c>
      <c r="I18" s="28">
        <v>133945</v>
      </c>
      <c r="J18" s="29">
        <f t="shared" si="0"/>
        <v>681230455.46038437</v>
      </c>
      <c r="K18" s="30">
        <f t="shared" si="1"/>
        <v>123.95110231850205</v>
      </c>
      <c r="L18" s="35">
        <f t="shared" si="4"/>
        <v>-8.0356296827614915E-2</v>
      </c>
      <c r="M18" s="35">
        <f t="shared" si="5"/>
        <v>-8.0356296827614915E-2</v>
      </c>
      <c r="O18" s="29">
        <f t="shared" si="6"/>
        <v>123.95110231790706</v>
      </c>
      <c r="P18" s="52">
        <f t="shared" si="7"/>
        <v>136.56996291989506</v>
      </c>
      <c r="Q18" s="35">
        <f t="shared" si="2"/>
        <v>-9.239850646653236E-2</v>
      </c>
      <c r="R18" s="91"/>
      <c r="S18" s="82">
        <v>2.7000000000000001E-3</v>
      </c>
      <c r="T18" s="34">
        <f t="shared" si="8"/>
        <v>-8.0356296827614915E-2</v>
      </c>
      <c r="U18" s="34">
        <f t="shared" si="9"/>
        <v>-8.3056296827614909E-2</v>
      </c>
      <c r="W18" s="35">
        <f t="shared" si="3"/>
        <v>2.7000000000000001E-3</v>
      </c>
      <c r="X18" s="34">
        <f t="shared" si="3"/>
        <v>-8.0356296827614915E-2</v>
      </c>
      <c r="Y18" s="35">
        <f t="shared" si="10"/>
        <v>1.7034688408179871E-2</v>
      </c>
      <c r="Z18" s="34">
        <f t="shared" si="11"/>
        <v>-9.7390985235794786E-2</v>
      </c>
      <c r="AD18" s="116" t="s">
        <v>45</v>
      </c>
      <c r="AE18" s="117"/>
      <c r="AF18" s="35">
        <f>STDEV(Z4:Z122)</f>
        <v>4.4068034141925512E-2</v>
      </c>
    </row>
    <row r="19" spans="1:32" x14ac:dyDescent="0.2">
      <c r="A19" s="26">
        <v>42521</v>
      </c>
      <c r="B19" s="27">
        <v>53</v>
      </c>
      <c r="C19" s="28">
        <v>7860467</v>
      </c>
      <c r="D19" s="27">
        <v>46.720001220703125</v>
      </c>
      <c r="E19" s="28">
        <v>534000</v>
      </c>
      <c r="F19" s="27">
        <v>735.719970703125</v>
      </c>
      <c r="G19" s="28">
        <v>343440</v>
      </c>
      <c r="H19" s="27">
        <v>223.22999572753906</v>
      </c>
      <c r="I19" s="28">
        <v>147543</v>
      </c>
      <c r="J19" s="29">
        <f t="shared" si="0"/>
        <v>727164921.64976501</v>
      </c>
      <c r="K19" s="30">
        <f t="shared" si="1"/>
        <v>132.3089607685296</v>
      </c>
      <c r="L19" s="35">
        <f t="shared" si="4"/>
        <v>6.7428673837457209E-2</v>
      </c>
      <c r="M19" s="35" t="str">
        <f t="shared" si="5"/>
        <v/>
      </c>
      <c r="O19" s="29">
        <f t="shared" si="6"/>
        <v>132.30896076789449</v>
      </c>
      <c r="P19" s="52">
        <f t="shared" si="7"/>
        <v>136.56996291989506</v>
      </c>
      <c r="Q19" s="35">
        <f t="shared" si="2"/>
        <v>-3.1200141384675195E-2</v>
      </c>
      <c r="R19" s="91"/>
      <c r="S19" s="82">
        <v>1.5299999999999999E-2</v>
      </c>
      <c r="T19" s="34">
        <f t="shared" si="8"/>
        <v>6.7428673837457209E-2</v>
      </c>
      <c r="U19" s="34">
        <f t="shared" si="9"/>
        <v>5.2128673837457208E-2</v>
      </c>
      <c r="W19" s="35">
        <f t="shared" si="3"/>
        <v>1.5299999999999999E-2</v>
      </c>
      <c r="X19" s="34">
        <f t="shared" si="3"/>
        <v>6.7428673837457209E-2</v>
      </c>
      <c r="Y19" s="35">
        <f t="shared" si="10"/>
        <v>3.2032781082977059E-2</v>
      </c>
      <c r="Z19" s="34">
        <f t="shared" si="11"/>
        <v>3.539589275448015E-2</v>
      </c>
      <c r="AD19" s="116" t="s">
        <v>46</v>
      </c>
      <c r="AE19" s="117"/>
      <c r="AF19" s="35">
        <f>AF13/(AF18*SQRT(12))</f>
        <v>1.0864268408561897</v>
      </c>
    </row>
    <row r="20" spans="1:32" ht="17" thickBot="1" x14ac:dyDescent="0.25">
      <c r="A20" s="26">
        <v>42551</v>
      </c>
      <c r="B20" s="27">
        <v>51.169998168945312</v>
      </c>
      <c r="C20" s="28">
        <v>7808000</v>
      </c>
      <c r="D20" s="27">
        <v>47.009998321533203</v>
      </c>
      <c r="E20" s="28">
        <v>534000</v>
      </c>
      <c r="F20" s="27">
        <v>692.0999755859375</v>
      </c>
      <c r="G20" s="28">
        <v>343171</v>
      </c>
      <c r="H20" s="27">
        <v>212.27999877929688</v>
      </c>
      <c r="I20" s="28">
        <v>148015</v>
      </c>
      <c r="J20" s="29">
        <f t="shared" si="0"/>
        <v>693567949.54794312</v>
      </c>
      <c r="K20" s="30">
        <f t="shared" si="1"/>
        <v>126.19593147982812</v>
      </c>
      <c r="L20" s="35">
        <f t="shared" si="4"/>
        <v>-4.6202685390266507E-2</v>
      </c>
      <c r="M20" s="35">
        <f t="shared" si="5"/>
        <v>-4.6202685390266507E-2</v>
      </c>
      <c r="O20" s="29">
        <f t="shared" si="6"/>
        <v>126.19593147922235</v>
      </c>
      <c r="P20" s="52">
        <f t="shared" si="7"/>
        <v>136.56996291989506</v>
      </c>
      <c r="Q20" s="35">
        <f t="shared" si="2"/>
        <v>-7.5961296458413652E-2</v>
      </c>
      <c r="R20" s="91"/>
      <c r="S20" s="82">
        <v>8.9999999999999998E-4</v>
      </c>
      <c r="T20" s="34">
        <f t="shared" si="8"/>
        <v>-4.6202685390266507E-2</v>
      </c>
      <c r="U20" s="34">
        <f t="shared" si="9"/>
        <v>-4.7102685390266505E-2</v>
      </c>
      <c r="W20" s="35">
        <f t="shared" si="3"/>
        <v>8.9999999999999998E-4</v>
      </c>
      <c r="X20" s="34">
        <f t="shared" si="3"/>
        <v>-4.6202685390266507E-2</v>
      </c>
      <c r="Y20" s="35">
        <f t="shared" si="10"/>
        <v>1.4892103740351699E-2</v>
      </c>
      <c r="Z20" s="34">
        <f t="shared" si="11"/>
        <v>-6.1094789130618207E-2</v>
      </c>
      <c r="AD20" s="94" t="s">
        <v>60</v>
      </c>
      <c r="AE20" s="95"/>
      <c r="AF20" s="90">
        <f>SKEW(L4:L122)</f>
        <v>1.2710083619011506E-2</v>
      </c>
    </row>
    <row r="21" spans="1:32" x14ac:dyDescent="0.2">
      <c r="A21" s="26">
        <v>42580</v>
      </c>
      <c r="B21" s="27">
        <v>56.680000305175781</v>
      </c>
      <c r="C21" s="28">
        <v>7792515</v>
      </c>
      <c r="D21" s="27">
        <v>57.099998474121094</v>
      </c>
      <c r="E21" s="28">
        <v>535000</v>
      </c>
      <c r="F21" s="27">
        <v>768.78997802734375</v>
      </c>
      <c r="G21" s="28">
        <v>343604</v>
      </c>
      <c r="H21" s="27">
        <v>234.78999328613281</v>
      </c>
      <c r="I21" s="28">
        <v>148693</v>
      </c>
      <c r="J21" s="29">
        <f t="shared" si="0"/>
        <v>771299191.84354401</v>
      </c>
      <c r="K21" s="30">
        <f t="shared" si="1"/>
        <v>140.33927033072393</v>
      </c>
      <c r="L21" s="35">
        <f t="shared" si="4"/>
        <v>0.11207444396221744</v>
      </c>
      <c r="M21" s="35" t="str">
        <f t="shared" si="5"/>
        <v/>
      </c>
      <c r="O21" s="29">
        <f t="shared" si="6"/>
        <v>140.33927033005028</v>
      </c>
      <c r="P21" s="52">
        <f t="shared" si="7"/>
        <v>140.33927033005028</v>
      </c>
      <c r="Q21" s="35">
        <f t="shared" si="2"/>
        <v>0</v>
      </c>
      <c r="R21" s="84"/>
      <c r="S21" s="82">
        <v>3.56E-2</v>
      </c>
      <c r="T21" s="34">
        <f t="shared" si="8"/>
        <v>0.11207444396221744</v>
      </c>
      <c r="U21" s="34">
        <f t="shared" si="9"/>
        <v>7.6474443962217448E-2</v>
      </c>
      <c r="W21" s="35">
        <f t="shared" si="3"/>
        <v>3.56E-2</v>
      </c>
      <c r="X21" s="34">
        <f t="shared" si="3"/>
        <v>0.11207444396221744</v>
      </c>
      <c r="Y21" s="35">
        <f t="shared" si="10"/>
        <v>5.6196374836816984E-2</v>
      </c>
      <c r="Z21" s="34">
        <f t="shared" si="11"/>
        <v>5.5878069125400456E-2</v>
      </c>
    </row>
    <row r="22" spans="1:32" x14ac:dyDescent="0.2">
      <c r="A22" s="26">
        <v>42613</v>
      </c>
      <c r="B22" s="27">
        <v>57.459999084472656</v>
      </c>
      <c r="C22" s="28">
        <v>7792515</v>
      </c>
      <c r="D22" s="27">
        <v>61.340000152587891</v>
      </c>
      <c r="E22" s="28">
        <v>535000</v>
      </c>
      <c r="F22" s="27">
        <v>767.04998779296875</v>
      </c>
      <c r="G22" s="28">
        <v>343604</v>
      </c>
      <c r="H22" s="27">
        <v>212.00999450683594</v>
      </c>
      <c r="I22" s="28">
        <v>149239</v>
      </c>
      <c r="J22" s="29">
        <f t="shared" si="0"/>
        <v>775776408.42319489</v>
      </c>
      <c r="K22" s="30">
        <f t="shared" si="1"/>
        <v>141.15390791176301</v>
      </c>
      <c r="L22" s="35">
        <f t="shared" si="4"/>
        <v>5.8047728131926934E-3</v>
      </c>
      <c r="M22" s="35" t="str">
        <f t="shared" si="5"/>
        <v/>
      </c>
      <c r="O22" s="29">
        <f t="shared" si="6"/>
        <v>141.15390791108547</v>
      </c>
      <c r="P22" s="52">
        <f t="shared" si="7"/>
        <v>141.15390791108547</v>
      </c>
      <c r="Q22" s="35">
        <f t="shared" si="2"/>
        <v>0</v>
      </c>
      <c r="R22" s="84"/>
      <c r="S22" s="82">
        <v>-1.1999999999999999E-3</v>
      </c>
      <c r="T22" s="34">
        <f t="shared" si="8"/>
        <v>5.8047728131926934E-3</v>
      </c>
      <c r="U22" s="34">
        <f t="shared" si="9"/>
        <v>7.0047728131926931E-3</v>
      </c>
      <c r="W22" s="35">
        <f t="shared" si="3"/>
        <v>-1.1999999999999999E-3</v>
      </c>
      <c r="X22" s="34">
        <f t="shared" si="3"/>
        <v>5.8047728131926934E-3</v>
      </c>
      <c r="Y22" s="35">
        <f t="shared" si="10"/>
        <v>1.2392421627885499E-2</v>
      </c>
      <c r="Z22" s="34">
        <f t="shared" si="11"/>
        <v>-6.587648814692806E-3</v>
      </c>
    </row>
    <row r="23" spans="1:32" x14ac:dyDescent="0.2">
      <c r="A23" s="26">
        <v>42643</v>
      </c>
      <c r="B23" s="27">
        <v>57.599998474121094</v>
      </c>
      <c r="C23" s="28">
        <v>7779737</v>
      </c>
      <c r="D23" s="27">
        <v>68.519996643066406</v>
      </c>
      <c r="E23" s="28">
        <v>535000</v>
      </c>
      <c r="F23" s="27">
        <v>777.28997802734375</v>
      </c>
      <c r="G23" s="28">
        <v>345036</v>
      </c>
      <c r="H23" s="27">
        <v>204.02999877929688</v>
      </c>
      <c r="I23" s="28">
        <v>149825</v>
      </c>
      <c r="J23" s="29">
        <f t="shared" si="0"/>
        <v>783532856.95885468</v>
      </c>
      <c r="K23" s="30">
        <f t="shared" si="1"/>
        <v>142.5652076244601</v>
      </c>
      <c r="L23" s="35">
        <f t="shared" si="4"/>
        <v>9.998304216836118E-3</v>
      </c>
      <c r="M23" s="35" t="str">
        <f t="shared" si="5"/>
        <v/>
      </c>
      <c r="O23" s="29">
        <f t="shared" si="6"/>
        <v>142.56520762377576</v>
      </c>
      <c r="P23" s="52">
        <f t="shared" si="7"/>
        <v>142.56520762377576</v>
      </c>
      <c r="Q23" s="35">
        <f t="shared" si="2"/>
        <v>0</v>
      </c>
      <c r="R23" s="84"/>
      <c r="S23" s="82">
        <v>-1.1999999999999999E-3</v>
      </c>
      <c r="T23" s="34">
        <f t="shared" si="8"/>
        <v>9.998304216836118E-3</v>
      </c>
      <c r="U23" s="34">
        <f t="shared" si="9"/>
        <v>1.1198304216836118E-2</v>
      </c>
      <c r="W23" s="35">
        <f t="shared" si="3"/>
        <v>-1.1999999999999999E-3</v>
      </c>
      <c r="X23" s="34">
        <f t="shared" si="3"/>
        <v>9.998304216836118E-3</v>
      </c>
      <c r="Y23" s="35">
        <f t="shared" si="10"/>
        <v>1.2392421627885499E-2</v>
      </c>
      <c r="Z23" s="34">
        <f t="shared" si="11"/>
        <v>-2.3941174110493815E-3</v>
      </c>
    </row>
    <row r="24" spans="1:32" x14ac:dyDescent="0.2">
      <c r="A24" s="26">
        <v>42674</v>
      </c>
      <c r="B24" s="27">
        <v>59.919998168945312</v>
      </c>
      <c r="C24" s="28">
        <v>7775351</v>
      </c>
      <c r="D24" s="27">
        <v>71.160003662109375</v>
      </c>
      <c r="E24" s="28">
        <v>539000</v>
      </c>
      <c r="F24" s="27">
        <v>784.53997802734375</v>
      </c>
      <c r="G24" s="28">
        <v>345091</v>
      </c>
      <c r="H24" s="27">
        <v>197.72999572753906</v>
      </c>
      <c r="I24" s="28">
        <v>149891</v>
      </c>
      <c r="J24" s="29">
        <f t="shared" si="0"/>
        <v>804629892.0038147</v>
      </c>
      <c r="K24" s="30">
        <f t="shared" si="1"/>
        <v>146.40385096242952</v>
      </c>
      <c r="L24" s="35">
        <f t="shared" si="4"/>
        <v>2.6925526935583255E-2</v>
      </c>
      <c r="M24" s="35" t="str">
        <f t="shared" si="5"/>
        <v/>
      </c>
      <c r="O24" s="29">
        <f t="shared" si="6"/>
        <v>146.40385096172676</v>
      </c>
      <c r="P24" s="52">
        <f t="shared" si="7"/>
        <v>146.40385096172676</v>
      </c>
      <c r="Q24" s="35">
        <f t="shared" si="2"/>
        <v>0</v>
      </c>
      <c r="R24" s="84"/>
      <c r="S24" s="82">
        <v>-1.9400000000000001E-2</v>
      </c>
      <c r="T24" s="34">
        <f t="shared" si="8"/>
        <v>2.6925526935583255E-2</v>
      </c>
      <c r="U24" s="34">
        <f t="shared" si="9"/>
        <v>4.6325526935583256E-2</v>
      </c>
      <c r="W24" s="35">
        <f t="shared" si="3"/>
        <v>-1.9400000000000001E-2</v>
      </c>
      <c r="X24" s="34">
        <f t="shared" si="3"/>
        <v>2.6925526935583255E-2</v>
      </c>
      <c r="Y24" s="35">
        <f t="shared" si="10"/>
        <v>-9.2714900134882264E-3</v>
      </c>
      <c r="Z24" s="34">
        <f t="shared" si="11"/>
        <v>3.619701694907148E-2</v>
      </c>
    </row>
    <row r="25" spans="1:32" x14ac:dyDescent="0.2">
      <c r="A25" s="26">
        <v>42704</v>
      </c>
      <c r="B25" s="27">
        <v>60.259998321533203</v>
      </c>
      <c r="C25" s="28">
        <v>7775351</v>
      </c>
      <c r="D25" s="27">
        <v>92.199996948242188</v>
      </c>
      <c r="E25" s="28">
        <v>539000</v>
      </c>
      <c r="F25" s="27">
        <v>758.03997802734375</v>
      </c>
      <c r="G25" s="28">
        <v>345091</v>
      </c>
      <c r="H25" s="27">
        <v>189.39999389648438</v>
      </c>
      <c r="I25" s="28">
        <v>149964</v>
      </c>
      <c r="J25" s="29">
        <f t="shared" si="0"/>
        <v>808234391.30656052</v>
      </c>
      <c r="K25" s="30">
        <f t="shared" si="1"/>
        <v>147.05969607079254</v>
      </c>
      <c r="L25" s="35">
        <f t="shared" si="4"/>
        <v>4.4796984782273785E-3</v>
      </c>
      <c r="M25" s="35" t="str">
        <f t="shared" si="5"/>
        <v/>
      </c>
      <c r="O25" s="29">
        <f t="shared" si="6"/>
        <v>147.05969607008663</v>
      </c>
      <c r="P25" s="52">
        <f t="shared" si="7"/>
        <v>147.05969607008663</v>
      </c>
      <c r="Q25" s="35">
        <f t="shared" si="2"/>
        <v>0</v>
      </c>
      <c r="R25" s="84"/>
      <c r="S25" s="82">
        <v>3.4200000000000001E-2</v>
      </c>
      <c r="T25" s="34">
        <f t="shared" si="8"/>
        <v>4.4796984782273785E-3</v>
      </c>
      <c r="U25" s="34">
        <f t="shared" si="9"/>
        <v>-2.9720301521772623E-2</v>
      </c>
      <c r="W25" s="35">
        <f t="shared" si="3"/>
        <v>3.4200000000000001E-2</v>
      </c>
      <c r="X25" s="34">
        <f t="shared" si="3"/>
        <v>4.4796984782273785E-3</v>
      </c>
      <c r="Y25" s="35">
        <f t="shared" si="10"/>
        <v>5.4529920095172858E-2</v>
      </c>
      <c r="Z25" s="34">
        <f t="shared" si="11"/>
        <v>-5.005022161694548E-2</v>
      </c>
    </row>
    <row r="26" spans="1:32" x14ac:dyDescent="0.2">
      <c r="A26" s="26">
        <v>42734</v>
      </c>
      <c r="B26" s="27">
        <v>62.139999389648438</v>
      </c>
      <c r="C26" s="28">
        <v>7730000</v>
      </c>
      <c r="D26" s="27">
        <v>106.73999786376953</v>
      </c>
      <c r="E26" s="28">
        <v>539000</v>
      </c>
      <c r="F26" s="27">
        <v>771.82000732421875</v>
      </c>
      <c r="G26" s="28">
        <v>346864</v>
      </c>
      <c r="H26" s="27">
        <v>213.69000244140625</v>
      </c>
      <c r="I26" s="28">
        <v>161561</v>
      </c>
      <c r="J26" s="29">
        <f t="shared" si="0"/>
        <v>840115599.63549805</v>
      </c>
      <c r="K26" s="30">
        <f t="shared" si="1"/>
        <v>152.86053906590936</v>
      </c>
      <c r="L26" s="35">
        <f t="shared" si="4"/>
        <v>3.9445498325553219E-2</v>
      </c>
      <c r="M26" s="35" t="str">
        <f t="shared" si="5"/>
        <v/>
      </c>
      <c r="O26" s="29">
        <f t="shared" si="6"/>
        <v>152.8605390651756</v>
      </c>
      <c r="P26" s="52">
        <f t="shared" si="7"/>
        <v>152.8605390651756</v>
      </c>
      <c r="Q26" s="35">
        <f t="shared" si="2"/>
        <v>0</v>
      </c>
      <c r="R26" s="84"/>
      <c r="S26" s="82">
        <v>1.8200000000000001E-2</v>
      </c>
      <c r="T26" s="34">
        <f t="shared" si="8"/>
        <v>3.9445498325553219E-2</v>
      </c>
      <c r="U26" s="34">
        <f t="shared" si="9"/>
        <v>2.1245498325553218E-2</v>
      </c>
      <c r="W26" s="35">
        <f t="shared" si="3"/>
        <v>1.8200000000000001E-2</v>
      </c>
      <c r="X26" s="34">
        <f t="shared" si="3"/>
        <v>3.9445498325553219E-2</v>
      </c>
      <c r="Y26" s="35">
        <f t="shared" si="10"/>
        <v>3.5484723047811341E-2</v>
      </c>
      <c r="Z26" s="34">
        <f t="shared" si="11"/>
        <v>3.9607752777418778E-3</v>
      </c>
    </row>
    <row r="27" spans="1:32" x14ac:dyDescent="0.2">
      <c r="A27" s="26">
        <v>42766</v>
      </c>
      <c r="B27" s="27">
        <v>64.650001525878906</v>
      </c>
      <c r="C27" s="28">
        <v>7727530</v>
      </c>
      <c r="D27" s="27">
        <v>109.18000030517578</v>
      </c>
      <c r="E27" s="28">
        <v>585000</v>
      </c>
      <c r="F27" s="27">
        <v>796.78997802734375</v>
      </c>
      <c r="G27" s="28">
        <v>346933</v>
      </c>
      <c r="H27" s="27">
        <v>251.92999267578125</v>
      </c>
      <c r="I27" s="28">
        <v>161670</v>
      </c>
      <c r="J27" s="29">
        <f t="shared" si="0"/>
        <v>880617385.83265686</v>
      </c>
      <c r="K27" s="30">
        <f t="shared" si="1"/>
        <v>160.22991165453413</v>
      </c>
      <c r="L27" s="35">
        <f t="shared" si="4"/>
        <v>4.8209777576718515E-2</v>
      </c>
      <c r="M27" s="35" t="str">
        <f t="shared" si="5"/>
        <v/>
      </c>
      <c r="O27" s="29">
        <f t="shared" si="6"/>
        <v>160.22991165376501</v>
      </c>
      <c r="P27" s="52">
        <f t="shared" si="7"/>
        <v>160.22991165376501</v>
      </c>
      <c r="Q27" s="35">
        <f t="shared" si="2"/>
        <v>0</v>
      </c>
      <c r="R27" s="84"/>
      <c r="S27" s="82">
        <v>1.7899999999999999E-2</v>
      </c>
      <c r="T27" s="34">
        <f t="shared" si="8"/>
        <v>4.8209777576718515E-2</v>
      </c>
      <c r="U27" s="34">
        <f t="shared" si="9"/>
        <v>3.0309777576718516E-2</v>
      </c>
      <c r="W27" s="35">
        <f t="shared" si="3"/>
        <v>1.7899999999999999E-2</v>
      </c>
      <c r="X27" s="34">
        <f t="shared" si="3"/>
        <v>4.8209777576718515E-2</v>
      </c>
      <c r="Y27" s="35">
        <f t="shared" si="10"/>
        <v>3.5127625603173306E-2</v>
      </c>
      <c r="Z27" s="34">
        <f t="shared" si="11"/>
        <v>1.308215197354521E-2</v>
      </c>
    </row>
    <row r="28" spans="1:32" x14ac:dyDescent="0.2">
      <c r="A28" s="26">
        <v>42794</v>
      </c>
      <c r="B28" s="27">
        <v>63.979999542236328</v>
      </c>
      <c r="C28" s="28">
        <v>7727530</v>
      </c>
      <c r="D28" s="27">
        <v>101.48000335693359</v>
      </c>
      <c r="E28" s="28">
        <v>589000</v>
      </c>
      <c r="F28" s="27">
        <v>823.21002197265625</v>
      </c>
      <c r="G28" s="28">
        <v>346933</v>
      </c>
      <c r="H28" s="27">
        <v>249.99000549316406</v>
      </c>
      <c r="I28" s="28">
        <v>161670</v>
      </c>
      <c r="J28" s="29">
        <f t="shared" si="0"/>
        <v>880193694.58097076</v>
      </c>
      <c r="K28" s="30">
        <f t="shared" si="1"/>
        <v>160.15282027192163</v>
      </c>
      <c r="L28" s="35">
        <f t="shared" si="4"/>
        <v>-4.8112978292547126E-4</v>
      </c>
      <c r="M28" s="35">
        <f t="shared" si="5"/>
        <v>-4.8112978292547126E-4</v>
      </c>
      <c r="O28" s="29">
        <f t="shared" si="6"/>
        <v>160.15282027115288</v>
      </c>
      <c r="P28" s="52">
        <f t="shared" si="7"/>
        <v>160.22991165376501</v>
      </c>
      <c r="Q28" s="35">
        <f t="shared" si="2"/>
        <v>-4.8112978292547126E-4</v>
      </c>
      <c r="R28" s="84"/>
      <c r="S28" s="82">
        <v>3.7199999999999997E-2</v>
      </c>
      <c r="T28" s="34">
        <f t="shared" si="8"/>
        <v>-4.8112978292547126E-4</v>
      </c>
      <c r="U28" s="34">
        <f t="shared" si="9"/>
        <v>-3.7681129782925468E-2</v>
      </c>
      <c r="W28" s="35">
        <f t="shared" si="3"/>
        <v>3.7199999999999997E-2</v>
      </c>
      <c r="X28" s="34">
        <f t="shared" si="3"/>
        <v>-4.8112978292547126E-4</v>
      </c>
      <c r="Y28" s="35">
        <f t="shared" si="10"/>
        <v>5.8100894541553136E-2</v>
      </c>
      <c r="Z28" s="34">
        <f t="shared" si="11"/>
        <v>-5.8582024324478607E-2</v>
      </c>
    </row>
    <row r="29" spans="1:32" x14ac:dyDescent="0.2">
      <c r="A29" s="26">
        <v>42825</v>
      </c>
      <c r="B29" s="27">
        <v>65.860000610351562</v>
      </c>
      <c r="C29" s="28">
        <v>7723000</v>
      </c>
      <c r="D29" s="27">
        <v>108.93000030517578</v>
      </c>
      <c r="E29" s="28">
        <v>566519</v>
      </c>
      <c r="F29" s="27">
        <v>829.55999755859375</v>
      </c>
      <c r="G29" s="28">
        <v>347344</v>
      </c>
      <c r="H29" s="27">
        <v>278.29998779296875</v>
      </c>
      <c r="I29" s="28">
        <v>164164</v>
      </c>
      <c r="J29" s="29">
        <f t="shared" si="0"/>
        <v>904177226.5446701</v>
      </c>
      <c r="K29" s="30">
        <f t="shared" si="1"/>
        <v>164.51666689763144</v>
      </c>
      <c r="L29" s="35">
        <f t="shared" si="4"/>
        <v>2.7248016102997763E-2</v>
      </c>
      <c r="M29" s="35" t="str">
        <f t="shared" si="5"/>
        <v/>
      </c>
      <c r="O29" s="29">
        <f t="shared" si="6"/>
        <v>164.51666689684177</v>
      </c>
      <c r="P29" s="52">
        <f t="shared" si="7"/>
        <v>164.51666689684177</v>
      </c>
      <c r="Q29" s="35">
        <f t="shared" si="2"/>
        <v>0</v>
      </c>
      <c r="R29" s="84"/>
      <c r="S29" s="82">
        <v>-4.0000000000000002E-4</v>
      </c>
      <c r="T29" s="34">
        <f t="shared" si="8"/>
        <v>2.7248016102997763E-2</v>
      </c>
      <c r="U29" s="34">
        <f t="shared" si="9"/>
        <v>2.7648016102997764E-2</v>
      </c>
      <c r="W29" s="35">
        <f t="shared" si="3"/>
        <v>-4.0000000000000002E-4</v>
      </c>
      <c r="X29" s="34">
        <f t="shared" si="3"/>
        <v>2.7248016102997763E-2</v>
      </c>
      <c r="Y29" s="35">
        <f t="shared" si="10"/>
        <v>1.3344681480253575E-2</v>
      </c>
      <c r="Z29" s="34">
        <f t="shared" si="11"/>
        <v>1.3903334622744188E-2</v>
      </c>
    </row>
    <row r="30" spans="1:32" x14ac:dyDescent="0.2">
      <c r="A30" s="26">
        <v>42853</v>
      </c>
      <c r="B30" s="27">
        <v>68.459999084472656</v>
      </c>
      <c r="C30" s="28">
        <v>7720515</v>
      </c>
      <c r="D30" s="27">
        <v>104.30000305175781</v>
      </c>
      <c r="E30" s="28">
        <v>595000</v>
      </c>
      <c r="F30" s="27">
        <v>905.96002197265625</v>
      </c>
      <c r="G30" s="28">
        <v>346967</v>
      </c>
      <c r="H30" s="27">
        <v>314.07000732421875</v>
      </c>
      <c r="I30" s="28">
        <v>164260</v>
      </c>
      <c r="J30" s="29">
        <f t="shared" si="0"/>
        <v>956532321.9943161</v>
      </c>
      <c r="K30" s="30">
        <f t="shared" si="1"/>
        <v>174.04277034905206</v>
      </c>
      <c r="L30" s="35">
        <f t="shared" si="4"/>
        <v>5.7903576768596476E-2</v>
      </c>
      <c r="M30" s="35" t="str">
        <f t="shared" si="5"/>
        <v/>
      </c>
      <c r="O30" s="29">
        <f t="shared" si="6"/>
        <v>174.04277034821666</v>
      </c>
      <c r="P30" s="52">
        <f t="shared" si="7"/>
        <v>174.04277034821666</v>
      </c>
      <c r="Q30" s="35">
        <f t="shared" si="2"/>
        <v>0</v>
      </c>
      <c r="R30" s="84"/>
      <c r="S30" s="82">
        <v>9.1000000000000004E-3</v>
      </c>
      <c r="T30" s="34">
        <f t="shared" si="8"/>
        <v>5.7903576768596476E-2</v>
      </c>
      <c r="U30" s="34">
        <f t="shared" si="9"/>
        <v>4.8803576768596479E-2</v>
      </c>
      <c r="W30" s="35">
        <f t="shared" si="3"/>
        <v>9.1000000000000004E-3</v>
      </c>
      <c r="X30" s="34">
        <f t="shared" si="3"/>
        <v>5.7903576768596476E-2</v>
      </c>
      <c r="Y30" s="35">
        <f t="shared" si="10"/>
        <v>2.4652767227124478E-2</v>
      </c>
      <c r="Z30" s="34">
        <f t="shared" si="11"/>
        <v>3.3250809541471998E-2</v>
      </c>
    </row>
    <row r="31" spans="1:32" x14ac:dyDescent="0.2">
      <c r="A31" s="26">
        <v>42886</v>
      </c>
      <c r="B31" s="27">
        <v>69.839996337890625</v>
      </c>
      <c r="C31" s="28">
        <v>7720515</v>
      </c>
      <c r="D31" s="27">
        <v>144.35000610351562</v>
      </c>
      <c r="E31" s="28">
        <v>595000</v>
      </c>
      <c r="F31" s="27">
        <v>964.8599853515625</v>
      </c>
      <c r="G31" s="28">
        <v>346967</v>
      </c>
      <c r="H31" s="27">
        <v>341.010009765625</v>
      </c>
      <c r="I31" s="28">
        <v>164260</v>
      </c>
      <c r="J31" s="29">
        <f t="shared" si="0"/>
        <v>1015877871.6997986</v>
      </c>
      <c r="K31" s="30">
        <f t="shared" si="1"/>
        <v>184.84079948108899</v>
      </c>
      <c r="L31" s="35">
        <f t="shared" si="4"/>
        <v>6.2042388261120518E-2</v>
      </c>
      <c r="M31" s="35" t="str">
        <f t="shared" si="5"/>
        <v/>
      </c>
      <c r="O31" s="29">
        <f t="shared" si="6"/>
        <v>184.84079948020175</v>
      </c>
      <c r="P31" s="52">
        <f t="shared" si="7"/>
        <v>184.84079948020175</v>
      </c>
      <c r="Q31" s="35">
        <f t="shared" si="2"/>
        <v>0</v>
      </c>
      <c r="R31" s="84"/>
      <c r="S31" s="82">
        <v>1.1599999999999999E-2</v>
      </c>
      <c r="T31" s="34">
        <f t="shared" si="8"/>
        <v>6.2042388261120518E-2</v>
      </c>
      <c r="U31" s="34">
        <f t="shared" si="9"/>
        <v>5.0442388261120519E-2</v>
      </c>
      <c r="W31" s="35">
        <f t="shared" si="3"/>
        <v>1.1599999999999999E-2</v>
      </c>
      <c r="X31" s="34">
        <f t="shared" si="3"/>
        <v>6.2042388261120518E-2</v>
      </c>
      <c r="Y31" s="35">
        <f t="shared" si="10"/>
        <v>2.7628579265774712E-2</v>
      </c>
      <c r="Z31" s="34">
        <f t="shared" si="11"/>
        <v>3.441380899534581E-2</v>
      </c>
    </row>
    <row r="32" spans="1:32" x14ac:dyDescent="0.2">
      <c r="A32" s="26">
        <v>42916</v>
      </c>
      <c r="B32" s="27">
        <v>68.930000305175781</v>
      </c>
      <c r="C32" s="28">
        <v>7708000</v>
      </c>
      <c r="D32" s="27">
        <v>144.55999755859375</v>
      </c>
      <c r="E32" s="28">
        <v>595000</v>
      </c>
      <c r="F32" s="27">
        <v>908.72998046875</v>
      </c>
      <c r="G32" s="28">
        <v>347732</v>
      </c>
      <c r="H32" s="27">
        <v>361.6099853515625</v>
      </c>
      <c r="I32" s="28">
        <v>166863</v>
      </c>
      <c r="J32" s="29">
        <f>(B32*C32)+(D32*E32)+(F32*G32)+(H32*I32)</f>
        <v>993659461.45373535</v>
      </c>
      <c r="K32" s="30">
        <f t="shared" si="1"/>
        <v>180.79811991547408</v>
      </c>
      <c r="L32" s="35">
        <f t="shared" si="4"/>
        <v>-2.1871143042900165E-2</v>
      </c>
      <c r="M32" s="35">
        <f t="shared" si="5"/>
        <v>-2.1871143042900165E-2</v>
      </c>
      <c r="O32" s="29">
        <f t="shared" si="6"/>
        <v>180.79811991460625</v>
      </c>
      <c r="P32" s="52">
        <f t="shared" si="7"/>
        <v>184.84079948020175</v>
      </c>
      <c r="Q32" s="35">
        <f t="shared" si="2"/>
        <v>-2.1871143042900054E-2</v>
      </c>
      <c r="R32" s="84"/>
      <c r="S32" s="82">
        <v>4.7999999999999996E-3</v>
      </c>
      <c r="T32" s="34">
        <f t="shared" si="8"/>
        <v>-2.1871143042900165E-2</v>
      </c>
      <c r="U32" s="34">
        <f t="shared" si="9"/>
        <v>-2.6671143042900164E-2</v>
      </c>
      <c r="W32" s="35">
        <f t="shared" si="3"/>
        <v>4.7999999999999996E-3</v>
      </c>
      <c r="X32" s="34">
        <f t="shared" si="3"/>
        <v>-2.1871143042900165E-2</v>
      </c>
      <c r="Y32" s="35">
        <f t="shared" si="10"/>
        <v>1.9534370520646067E-2</v>
      </c>
      <c r="Z32" s="34">
        <f t="shared" si="11"/>
        <v>-4.1405513563546228E-2</v>
      </c>
    </row>
    <row r="33" spans="1:26" x14ac:dyDescent="0.2">
      <c r="A33" s="26">
        <v>42947</v>
      </c>
      <c r="B33" s="27">
        <v>72.699996948242188</v>
      </c>
      <c r="C33" s="28">
        <v>7702244</v>
      </c>
      <c r="D33" s="27">
        <v>162.50999450683594</v>
      </c>
      <c r="E33" s="28">
        <v>600000</v>
      </c>
      <c r="F33" s="27">
        <v>930.5</v>
      </c>
      <c r="G33" s="28">
        <v>347734</v>
      </c>
      <c r="H33" s="27">
        <v>323.47000122070312</v>
      </c>
      <c r="I33" s="28">
        <v>166887</v>
      </c>
      <c r="J33" s="29">
        <f t="shared" si="0"/>
        <v>1035008537.0924377</v>
      </c>
      <c r="K33" s="30">
        <f t="shared" si="1"/>
        <v>188.32165833655739</v>
      </c>
      <c r="L33" s="35">
        <f t="shared" si="4"/>
        <v>4.1612923987266459E-2</v>
      </c>
      <c r="M33" s="35" t="str">
        <f t="shared" si="5"/>
        <v/>
      </c>
      <c r="O33" s="29">
        <f t="shared" si="6"/>
        <v>188.32165833565344</v>
      </c>
      <c r="P33" s="52">
        <f t="shared" si="7"/>
        <v>188.32165833565344</v>
      </c>
      <c r="Q33" s="35">
        <f t="shared" si="2"/>
        <v>0</v>
      </c>
      <c r="R33" s="84"/>
      <c r="S33" s="82">
        <v>1.9300000000000001E-2</v>
      </c>
      <c r="T33" s="34">
        <f t="shared" si="8"/>
        <v>4.1612923987266459E-2</v>
      </c>
      <c r="U33" s="34">
        <f t="shared" si="9"/>
        <v>2.2312923987266458E-2</v>
      </c>
      <c r="W33" s="35">
        <f t="shared" si="3"/>
        <v>1.9300000000000001E-2</v>
      </c>
      <c r="X33" s="34">
        <f t="shared" si="3"/>
        <v>4.1612923987266459E-2</v>
      </c>
      <c r="Y33" s="35">
        <f t="shared" si="10"/>
        <v>3.6794080344817445E-2</v>
      </c>
      <c r="Z33" s="34">
        <f t="shared" si="11"/>
        <v>4.8188436424490139E-3</v>
      </c>
    </row>
    <row r="34" spans="1:26" x14ac:dyDescent="0.2">
      <c r="A34" s="26">
        <v>42978</v>
      </c>
      <c r="B34" s="27">
        <v>74.769996643066406</v>
      </c>
      <c r="C34" s="28">
        <v>7702244</v>
      </c>
      <c r="D34" s="27">
        <v>169.44000244140625</v>
      </c>
      <c r="E34" s="28">
        <v>600000</v>
      </c>
      <c r="F34" s="27">
        <v>939.33001708984375</v>
      </c>
      <c r="G34" s="28">
        <v>347734</v>
      </c>
      <c r="H34" s="27">
        <v>355.89999389648438</v>
      </c>
      <c r="I34" s="28">
        <v>166887</v>
      </c>
      <c r="J34" s="29">
        <f t="shared" si="0"/>
        <v>1063592825.9330444</v>
      </c>
      <c r="K34" s="30">
        <f t="shared" si="1"/>
        <v>193.52262092180939</v>
      </c>
      <c r="L34" s="35">
        <f t="shared" si="4"/>
        <v>2.7617442577726026E-2</v>
      </c>
      <c r="M34" s="35" t="str">
        <f t="shared" si="5"/>
        <v/>
      </c>
      <c r="O34" s="29">
        <f t="shared" si="6"/>
        <v>193.52262092088048</v>
      </c>
      <c r="P34" s="52">
        <f t="shared" si="7"/>
        <v>193.52262092088048</v>
      </c>
      <c r="Q34" s="35">
        <f t="shared" si="2"/>
        <v>0</v>
      </c>
      <c r="R34" s="84"/>
      <c r="S34" s="82">
        <v>5.0000000000000001E-4</v>
      </c>
      <c r="T34" s="34">
        <f t="shared" si="8"/>
        <v>2.7617442577726026E-2</v>
      </c>
      <c r="U34" s="34">
        <f t="shared" si="9"/>
        <v>2.7117442577726025E-2</v>
      </c>
      <c r="W34" s="35">
        <f t="shared" si="3"/>
        <v>5.0000000000000001E-4</v>
      </c>
      <c r="X34" s="34">
        <f t="shared" si="3"/>
        <v>2.7617442577726026E-2</v>
      </c>
      <c r="Y34" s="35">
        <f t="shared" si="10"/>
        <v>1.4415973814167661E-2</v>
      </c>
      <c r="Z34" s="34">
        <f t="shared" si="11"/>
        <v>1.3201468763558365E-2</v>
      </c>
    </row>
    <row r="35" spans="1:26" x14ac:dyDescent="0.2">
      <c r="A35" s="26">
        <v>43007</v>
      </c>
      <c r="B35" s="27">
        <v>74.489997863769531</v>
      </c>
      <c r="C35" s="28">
        <v>7715433</v>
      </c>
      <c r="D35" s="27">
        <v>178.77000427246094</v>
      </c>
      <c r="E35" s="28">
        <v>600000</v>
      </c>
      <c r="F35" s="27">
        <v>959.1099853515625</v>
      </c>
      <c r="G35" s="28">
        <v>349473</v>
      </c>
      <c r="H35" s="27">
        <v>341.10000610351562</v>
      </c>
      <c r="I35" s="28">
        <v>168017</v>
      </c>
      <c r="J35" s="29">
        <f t="shared" si="0"/>
        <v>1074478233.8877945</v>
      </c>
      <c r="K35" s="30">
        <f t="shared" si="1"/>
        <v>195.50324040874355</v>
      </c>
      <c r="L35" s="35">
        <f t="shared" si="4"/>
        <v>1.0234563161142907E-2</v>
      </c>
      <c r="M35" s="35" t="str">
        <f t="shared" si="5"/>
        <v/>
      </c>
      <c r="O35" s="29">
        <f t="shared" si="6"/>
        <v>195.50324040780515</v>
      </c>
      <c r="P35" s="52">
        <f t="shared" si="7"/>
        <v>195.50324040780515</v>
      </c>
      <c r="Q35" s="35">
        <f t="shared" si="2"/>
        <v>0</v>
      </c>
      <c r="R35" s="84"/>
      <c r="S35" s="82">
        <v>1.9300000000000001E-2</v>
      </c>
      <c r="T35" s="34">
        <f t="shared" si="8"/>
        <v>1.0234563161142907E-2</v>
      </c>
      <c r="U35" s="34">
        <f t="shared" si="9"/>
        <v>-9.0654368388570945E-3</v>
      </c>
      <c r="W35" s="35">
        <f t="shared" si="3"/>
        <v>1.9300000000000001E-2</v>
      </c>
      <c r="X35" s="34">
        <f t="shared" si="3"/>
        <v>1.0234563161142907E-2</v>
      </c>
      <c r="Y35" s="35">
        <f t="shared" si="10"/>
        <v>3.6794080344817445E-2</v>
      </c>
      <c r="Z35" s="34">
        <f t="shared" si="11"/>
        <v>-2.6559517183674539E-2</v>
      </c>
    </row>
    <row r="36" spans="1:26" x14ac:dyDescent="0.2">
      <c r="A36" s="26">
        <v>43039</v>
      </c>
      <c r="B36" s="27">
        <v>83.180000305175781</v>
      </c>
      <c r="C36" s="28">
        <v>7714590</v>
      </c>
      <c r="D36" s="27">
        <v>206.80999755859375</v>
      </c>
      <c r="E36" s="28">
        <v>606000</v>
      </c>
      <c r="F36" s="27">
        <v>1016.6400146484375</v>
      </c>
      <c r="G36" s="28">
        <v>349479</v>
      </c>
      <c r="H36" s="27">
        <v>331.52999877929688</v>
      </c>
      <c r="I36" s="28">
        <v>168067</v>
      </c>
      <c r="J36" s="29">
        <f t="shared" si="0"/>
        <v>1178040045.0589752</v>
      </c>
      <c r="K36" s="30">
        <f t="shared" si="1"/>
        <v>214.34649756185081</v>
      </c>
      <c r="L36" s="35">
        <f t="shared" si="4"/>
        <v>9.638334952255101E-2</v>
      </c>
      <c r="M36" s="35" t="str">
        <f t="shared" si="5"/>
        <v/>
      </c>
      <c r="O36" s="29">
        <f t="shared" si="6"/>
        <v>214.34649756082194</v>
      </c>
      <c r="P36" s="52">
        <f t="shared" si="7"/>
        <v>214.34649756082194</v>
      </c>
      <c r="Q36" s="35">
        <f t="shared" si="2"/>
        <v>0</v>
      </c>
      <c r="R36" s="84"/>
      <c r="S36" s="82">
        <v>2.2200000000000001E-2</v>
      </c>
      <c r="T36" s="34">
        <f t="shared" si="8"/>
        <v>9.638334952255101E-2</v>
      </c>
      <c r="U36" s="34">
        <f t="shared" si="9"/>
        <v>7.4183349522551012E-2</v>
      </c>
      <c r="W36" s="35">
        <f t="shared" si="3"/>
        <v>2.2200000000000001E-2</v>
      </c>
      <c r="X36" s="34">
        <f t="shared" si="3"/>
        <v>9.638334952255101E-2</v>
      </c>
      <c r="Y36" s="35">
        <f t="shared" si="10"/>
        <v>4.024602230965172E-2</v>
      </c>
      <c r="Z36" s="34">
        <f t="shared" si="11"/>
        <v>5.6137327212899289E-2</v>
      </c>
    </row>
    <row r="37" spans="1:26" x14ac:dyDescent="0.2">
      <c r="A37" s="26">
        <v>43069</v>
      </c>
      <c r="B37" s="27">
        <v>84.169998168945312</v>
      </c>
      <c r="C37" s="28">
        <v>7714590</v>
      </c>
      <c r="D37" s="27">
        <v>200.71000671386719</v>
      </c>
      <c r="E37" s="28">
        <v>606000</v>
      </c>
      <c r="F37" s="27">
        <v>1021.4099731445312</v>
      </c>
      <c r="G37" s="28">
        <v>349479</v>
      </c>
      <c r="H37" s="27">
        <v>308.85000610351562</v>
      </c>
      <c r="I37" s="28">
        <v>168067</v>
      </c>
      <c r="J37" s="29">
        <f t="shared" si="0"/>
        <v>1179836120.2231445</v>
      </c>
      <c r="K37" s="30">
        <f t="shared" si="1"/>
        <v>214.67329665701931</v>
      </c>
      <c r="L37" s="35">
        <f t="shared" si="4"/>
        <v>1.5246299747639913E-3</v>
      </c>
      <c r="M37" s="35" t="str">
        <f t="shared" si="5"/>
        <v/>
      </c>
      <c r="O37" s="29">
        <f t="shared" si="6"/>
        <v>214.67329665598885</v>
      </c>
      <c r="P37" s="52">
        <f t="shared" si="7"/>
        <v>214.67329665598885</v>
      </c>
      <c r="Q37" s="35">
        <f t="shared" si="2"/>
        <v>0</v>
      </c>
      <c r="R37" s="84"/>
      <c r="S37" s="82">
        <v>2.81E-2</v>
      </c>
      <c r="T37" s="34">
        <f t="shared" si="8"/>
        <v>1.5246299747639913E-3</v>
      </c>
      <c r="U37" s="34">
        <f t="shared" si="9"/>
        <v>-2.6575370025236009E-2</v>
      </c>
      <c r="W37" s="35">
        <f t="shared" si="3"/>
        <v>2.81E-2</v>
      </c>
      <c r="X37" s="34">
        <f t="shared" si="3"/>
        <v>1.5246299747639913E-3</v>
      </c>
      <c r="Y37" s="35">
        <f t="shared" si="10"/>
        <v>4.726893872086628E-2</v>
      </c>
      <c r="Z37" s="34">
        <f t="shared" si="11"/>
        <v>-4.5744308746102288E-2</v>
      </c>
    </row>
    <row r="38" spans="1:26" x14ac:dyDescent="0.2">
      <c r="A38" s="26">
        <v>43098</v>
      </c>
      <c r="B38" s="27">
        <v>85.540000915527344</v>
      </c>
      <c r="C38" s="28">
        <v>7705000</v>
      </c>
      <c r="D38" s="27">
        <v>193.5</v>
      </c>
      <c r="E38" s="28">
        <v>606000</v>
      </c>
      <c r="F38" s="27">
        <v>1046.4000244140625</v>
      </c>
      <c r="G38" s="28">
        <v>349341</v>
      </c>
      <c r="H38" s="27">
        <v>311.35000610351562</v>
      </c>
      <c r="I38" s="28">
        <v>168797</v>
      </c>
      <c r="J38" s="29">
        <f t="shared" si="0"/>
        <v>1194452084.9632263</v>
      </c>
      <c r="K38" s="30">
        <f t="shared" si="1"/>
        <v>217.33269763720179</v>
      </c>
      <c r="L38" s="35">
        <f t="shared" si="4"/>
        <v>1.2388131274805758E-2</v>
      </c>
      <c r="M38" s="35" t="str">
        <f t="shared" si="5"/>
        <v/>
      </c>
      <c r="O38" s="29">
        <f t="shared" si="6"/>
        <v>217.33269763615857</v>
      </c>
      <c r="P38" s="52">
        <f t="shared" si="7"/>
        <v>217.33269763615857</v>
      </c>
      <c r="Q38" s="35">
        <f t="shared" si="2"/>
        <v>0</v>
      </c>
      <c r="R38" s="84"/>
      <c r="S38" s="82">
        <v>9.7999999999999997E-3</v>
      </c>
      <c r="T38" s="34">
        <f t="shared" si="8"/>
        <v>1.2388131274805758E-2</v>
      </c>
      <c r="U38" s="34">
        <f t="shared" si="9"/>
        <v>2.5881312748057585E-3</v>
      </c>
      <c r="W38" s="35">
        <f t="shared" si="3"/>
        <v>9.7999999999999997E-3</v>
      </c>
      <c r="X38" s="34">
        <f t="shared" si="3"/>
        <v>1.2388131274805758E-2</v>
      </c>
      <c r="Y38" s="35">
        <f t="shared" si="10"/>
        <v>2.5485994597946541E-2</v>
      </c>
      <c r="Z38" s="34">
        <f t="shared" si="11"/>
        <v>-1.3097863323140783E-2</v>
      </c>
    </row>
    <row r="39" spans="1:26" x14ac:dyDescent="0.2">
      <c r="A39" s="26">
        <v>43131</v>
      </c>
      <c r="B39" s="27">
        <v>95.010002136230469</v>
      </c>
      <c r="C39" s="28">
        <v>7699793</v>
      </c>
      <c r="D39" s="27">
        <v>245.80000305175781</v>
      </c>
      <c r="E39" s="28">
        <v>606215</v>
      </c>
      <c r="F39" s="27">
        <v>1169.93994140625</v>
      </c>
      <c r="G39" s="28">
        <v>349844</v>
      </c>
      <c r="H39" s="27">
        <v>354.30999755859375</v>
      </c>
      <c r="I39" s="28">
        <v>168797</v>
      </c>
      <c r="J39" s="29">
        <f t="shared" si="0"/>
        <v>1349667931.7477798</v>
      </c>
      <c r="K39" s="30">
        <f t="shared" si="1"/>
        <v>245.57449914803271</v>
      </c>
      <c r="L39" s="35">
        <f t="shared" si="4"/>
        <v>0.12994731956061023</v>
      </c>
      <c r="M39" s="35" t="str">
        <f t="shared" si="5"/>
        <v/>
      </c>
      <c r="O39" s="29">
        <f t="shared" si="6"/>
        <v>245.57449914685395</v>
      </c>
      <c r="P39" s="52">
        <f t="shared" si="7"/>
        <v>245.57449914685395</v>
      </c>
      <c r="Q39" s="35">
        <f t="shared" si="2"/>
        <v>0</v>
      </c>
      <c r="R39" s="84"/>
      <c r="S39" s="82">
        <v>5.62E-2</v>
      </c>
      <c r="T39" s="34">
        <f t="shared" si="8"/>
        <v>0.12994731956061023</v>
      </c>
      <c r="U39" s="34">
        <f t="shared" si="9"/>
        <v>7.3747319560610231E-2</v>
      </c>
      <c r="W39" s="35">
        <f t="shared" si="3"/>
        <v>5.62E-2</v>
      </c>
      <c r="X39" s="34">
        <f t="shared" si="3"/>
        <v>0.12994731956061023</v>
      </c>
      <c r="Y39" s="35">
        <f t="shared" si="10"/>
        <v>8.0717066035294938E-2</v>
      </c>
      <c r="Z39" s="34">
        <f t="shared" si="11"/>
        <v>4.9230253525315293E-2</v>
      </c>
    </row>
    <row r="40" spans="1:26" x14ac:dyDescent="0.2">
      <c r="A40" s="26">
        <v>43159</v>
      </c>
      <c r="B40" s="27">
        <v>93.769996643066406</v>
      </c>
      <c r="C40" s="28">
        <v>7699793</v>
      </c>
      <c r="D40" s="27">
        <v>242</v>
      </c>
      <c r="E40" s="28">
        <v>605000</v>
      </c>
      <c r="F40" s="27">
        <v>1104.72998046875</v>
      </c>
      <c r="G40" s="28">
        <v>349844</v>
      </c>
      <c r="H40" s="27">
        <v>343.05999755859375</v>
      </c>
      <c r="I40" s="28">
        <v>168920</v>
      </c>
      <c r="J40" s="29">
        <f t="shared" si="0"/>
        <v>1312852413.8370132</v>
      </c>
      <c r="K40" s="30">
        <f t="shared" si="1"/>
        <v>238.87584968089737</v>
      </c>
      <c r="L40" s="35">
        <f t="shared" si="4"/>
        <v>-2.7277463622545683E-2</v>
      </c>
      <c r="M40" s="35">
        <f t="shared" si="5"/>
        <v>-2.7277463622545683E-2</v>
      </c>
      <c r="O40" s="29">
        <f t="shared" si="6"/>
        <v>238.87584967975076</v>
      </c>
      <c r="P40" s="52">
        <f t="shared" si="7"/>
        <v>245.57449914685395</v>
      </c>
      <c r="Q40" s="35">
        <f t="shared" si="2"/>
        <v>-2.7277463622545683E-2</v>
      </c>
      <c r="R40" s="84"/>
      <c r="S40" s="82">
        <v>-3.8899999999999997E-2</v>
      </c>
      <c r="T40" s="34">
        <f t="shared" si="8"/>
        <v>-2.7277463622545683E-2</v>
      </c>
      <c r="U40" s="34">
        <f t="shared" si="9"/>
        <v>1.1622536377454314E-2</v>
      </c>
      <c r="W40" s="35">
        <f t="shared" si="3"/>
        <v>-3.8899999999999997E-2</v>
      </c>
      <c r="X40" s="34">
        <f t="shared" si="3"/>
        <v>-2.7277463622545683E-2</v>
      </c>
      <c r="Y40" s="35">
        <f t="shared" si="10"/>
        <v>-3.2482823914960067E-2</v>
      </c>
      <c r="Z40" s="34">
        <f t="shared" si="11"/>
        <v>5.2053602924143835E-3</v>
      </c>
    </row>
    <row r="41" spans="1:26" x14ac:dyDescent="0.2">
      <c r="A41" s="26">
        <v>43188</v>
      </c>
      <c r="B41" s="27">
        <v>91.269996643066406</v>
      </c>
      <c r="C41" s="28">
        <v>7690000</v>
      </c>
      <c r="D41" s="27">
        <v>231.58999633789062</v>
      </c>
      <c r="E41" s="28">
        <v>605000</v>
      </c>
      <c r="F41" s="27">
        <v>1031.7900390625</v>
      </c>
      <c r="G41" s="28">
        <v>349353</v>
      </c>
      <c r="H41" s="27">
        <v>266.1300048828125</v>
      </c>
      <c r="I41" s="28">
        <v>169750</v>
      </c>
      <c r="J41" s="29">
        <f t="shared" si="0"/>
        <v>1247612735.8150635</v>
      </c>
      <c r="K41" s="30">
        <f t="shared" si="1"/>
        <v>227.00537333782219</v>
      </c>
      <c r="L41" s="35">
        <f t="shared" si="4"/>
        <v>-4.9693078471232499E-2</v>
      </c>
      <c r="M41" s="35">
        <f t="shared" si="5"/>
        <v>-4.9693078471232499E-2</v>
      </c>
      <c r="O41" s="29">
        <f t="shared" si="6"/>
        <v>227.00537333673256</v>
      </c>
      <c r="P41" s="52">
        <f t="shared" si="7"/>
        <v>245.57449914685395</v>
      </c>
      <c r="Q41" s="35">
        <f t="shared" si="2"/>
        <v>-7.5615040953486923E-2</v>
      </c>
      <c r="R41" s="84"/>
      <c r="S41" s="82">
        <v>-2.69E-2</v>
      </c>
      <c r="T41" s="34">
        <f t="shared" si="8"/>
        <v>-4.9693078471232499E-2</v>
      </c>
      <c r="U41" s="34">
        <f t="shared" si="9"/>
        <v>-2.2793078471232499E-2</v>
      </c>
      <c r="W41" s="35">
        <f t="shared" si="3"/>
        <v>-2.69E-2</v>
      </c>
      <c r="X41" s="34">
        <f t="shared" si="3"/>
        <v>-4.9693078471232499E-2</v>
      </c>
      <c r="Y41" s="35">
        <f t="shared" si="10"/>
        <v>-1.8198926129438936E-2</v>
      </c>
      <c r="Z41" s="34">
        <f t="shared" si="11"/>
        <v>-3.1494152341793563E-2</v>
      </c>
    </row>
    <row r="42" spans="1:26" x14ac:dyDescent="0.2">
      <c r="A42" s="26">
        <v>43220</v>
      </c>
      <c r="B42" s="27">
        <v>93.519996643066406</v>
      </c>
      <c r="C42" s="28">
        <v>7683198</v>
      </c>
      <c r="D42" s="27">
        <v>224.89999389648438</v>
      </c>
      <c r="E42" s="28">
        <v>607000</v>
      </c>
      <c r="F42" s="27">
        <v>1017.3300170898438</v>
      </c>
      <c r="G42" s="28">
        <v>348952</v>
      </c>
      <c r="H42" s="27">
        <v>293.89999389648438</v>
      </c>
      <c r="I42" s="28">
        <v>169794</v>
      </c>
      <c r="J42" s="29">
        <f t="shared" si="0"/>
        <v>1259948747.1503754</v>
      </c>
      <c r="K42" s="30">
        <f t="shared" si="1"/>
        <v>229.24993270971945</v>
      </c>
      <c r="L42" s="35">
        <f t="shared" si="4"/>
        <v>9.8876926959652334E-3</v>
      </c>
      <c r="M42" s="35" t="str">
        <f t="shared" si="5"/>
        <v/>
      </c>
      <c r="O42" s="29">
        <f t="shared" si="6"/>
        <v>229.24993270861904</v>
      </c>
      <c r="P42" s="52">
        <f t="shared" si="7"/>
        <v>245.57449914685395</v>
      </c>
      <c r="Q42" s="35">
        <f t="shared" si="2"/>
        <v>-6.6475006545662518E-2</v>
      </c>
      <c r="R42" s="84"/>
      <c r="S42" s="82">
        <v>2.7000000000000001E-3</v>
      </c>
      <c r="T42" s="34">
        <f t="shared" si="8"/>
        <v>9.8876926959652334E-3</v>
      </c>
      <c r="U42" s="34">
        <f t="shared" si="9"/>
        <v>7.1876926959652332E-3</v>
      </c>
      <c r="W42" s="35">
        <f t="shared" si="3"/>
        <v>2.7000000000000001E-3</v>
      </c>
      <c r="X42" s="34">
        <f t="shared" si="3"/>
        <v>9.8876926959652334E-3</v>
      </c>
      <c r="Y42" s="35">
        <f t="shared" si="10"/>
        <v>1.7034688408179871E-2</v>
      </c>
      <c r="Z42" s="34">
        <f t="shared" si="11"/>
        <v>-7.1469957122146377E-3</v>
      </c>
    </row>
    <row r="43" spans="1:26" x14ac:dyDescent="0.2">
      <c r="A43" s="26">
        <v>43251</v>
      </c>
      <c r="B43" s="27">
        <v>98.839996337890625</v>
      </c>
      <c r="C43" s="28">
        <v>7683198</v>
      </c>
      <c r="D43" s="27">
        <v>252.19000244140625</v>
      </c>
      <c r="E43" s="28">
        <v>607000</v>
      </c>
      <c r="F43" s="27">
        <v>1084.989990234375</v>
      </c>
      <c r="G43" s="28">
        <v>348952</v>
      </c>
      <c r="H43" s="27">
        <v>284.73001098632812</v>
      </c>
      <c r="I43" s="28">
        <v>169794</v>
      </c>
      <c r="J43" s="29">
        <f t="shared" si="0"/>
        <v>1339441468.2229004</v>
      </c>
      <c r="K43" s="30">
        <f t="shared" si="1"/>
        <v>243.71377578111847</v>
      </c>
      <c r="L43" s="35">
        <f t="shared" si="4"/>
        <v>6.3092027554544128E-2</v>
      </c>
      <c r="M43" s="35" t="str">
        <f t="shared" si="5"/>
        <v/>
      </c>
      <c r="O43" s="29">
        <f t="shared" si="6"/>
        <v>243.71377577994863</v>
      </c>
      <c r="P43" s="52">
        <f t="shared" si="7"/>
        <v>245.57449914685395</v>
      </c>
      <c r="Q43" s="35">
        <f t="shared" si="2"/>
        <v>-7.5770219357857993E-3</v>
      </c>
      <c r="R43" s="84"/>
      <c r="S43" s="82">
        <v>2.1600000000000001E-2</v>
      </c>
      <c r="T43" s="34">
        <f t="shared" si="8"/>
        <v>6.3092027554544128E-2</v>
      </c>
      <c r="U43" s="34">
        <f t="shared" si="9"/>
        <v>4.1492027554544127E-2</v>
      </c>
      <c r="W43" s="35">
        <f t="shared" si="3"/>
        <v>2.1600000000000001E-2</v>
      </c>
      <c r="X43" s="34">
        <f t="shared" si="3"/>
        <v>6.3092027554544128E-2</v>
      </c>
      <c r="Y43" s="35">
        <f t="shared" si="10"/>
        <v>3.9531827420375663E-2</v>
      </c>
      <c r="Z43" s="34">
        <f t="shared" si="11"/>
        <v>2.3560200134168464E-2</v>
      </c>
    </row>
    <row r="44" spans="1:26" x14ac:dyDescent="0.2">
      <c r="A44" s="26">
        <v>43280</v>
      </c>
      <c r="B44" s="27">
        <v>98.610000610351562</v>
      </c>
      <c r="C44" s="28">
        <v>7677000</v>
      </c>
      <c r="D44" s="27">
        <v>236.89999389648438</v>
      </c>
      <c r="E44" s="28">
        <v>607000</v>
      </c>
      <c r="F44" s="27">
        <v>1115.6500244140625</v>
      </c>
      <c r="G44" s="28">
        <v>350160</v>
      </c>
      <c r="H44" s="27">
        <v>342.95001220703125</v>
      </c>
      <c r="I44" s="28">
        <v>170516</v>
      </c>
      <c r="J44" s="29">
        <f t="shared" si="0"/>
        <v>1349961747.8111572</v>
      </c>
      <c r="K44" s="30">
        <f t="shared" si="1"/>
        <v>245.62795950736134</v>
      </c>
      <c r="L44" s="35">
        <f t="shared" si="4"/>
        <v>7.854228675042263E-3</v>
      </c>
      <c r="M44" s="35" t="str">
        <f t="shared" si="5"/>
        <v/>
      </c>
      <c r="O44" s="29">
        <f t="shared" si="6"/>
        <v>245.62795950618232</v>
      </c>
      <c r="P44" s="52">
        <f t="shared" si="7"/>
        <v>245.62795950618232</v>
      </c>
      <c r="Q44" s="35">
        <f t="shared" si="2"/>
        <v>0</v>
      </c>
      <c r="R44" s="84"/>
      <c r="S44" s="82">
        <v>4.7999999999999996E-3</v>
      </c>
      <c r="T44" s="34">
        <f t="shared" si="8"/>
        <v>7.854228675042263E-3</v>
      </c>
      <c r="U44" s="34">
        <f t="shared" si="9"/>
        <v>3.0542286750422634E-3</v>
      </c>
      <c r="W44" s="35">
        <f t="shared" si="3"/>
        <v>4.7999999999999996E-3</v>
      </c>
      <c r="X44" s="34">
        <f t="shared" si="3"/>
        <v>7.854228675042263E-3</v>
      </c>
      <c r="Y44" s="35">
        <f t="shared" si="10"/>
        <v>1.9534370520646067E-2</v>
      </c>
      <c r="Z44" s="34">
        <f t="shared" si="11"/>
        <v>-1.1680141845603804E-2</v>
      </c>
    </row>
    <row r="45" spans="1:26" x14ac:dyDescent="0.2">
      <c r="A45" s="26">
        <v>43312</v>
      </c>
      <c r="B45" s="27">
        <v>106.08000183105469</v>
      </c>
      <c r="C45" s="28">
        <v>7668217</v>
      </c>
      <c r="D45" s="27">
        <v>244.86000061035156</v>
      </c>
      <c r="E45" s="28">
        <v>608000</v>
      </c>
      <c r="F45" s="27">
        <v>1217.260009765625</v>
      </c>
      <c r="G45" s="28">
        <v>349883</v>
      </c>
      <c r="H45" s="27">
        <v>298.1400146484375</v>
      </c>
      <c r="I45" s="28">
        <v>170593</v>
      </c>
      <c r="J45" s="29">
        <f t="shared" si="0"/>
        <v>1439078537.2877655</v>
      </c>
      <c r="K45" s="30">
        <f t="shared" si="1"/>
        <v>261.8429190737923</v>
      </c>
      <c r="L45" s="35">
        <f t="shared" si="4"/>
        <v>6.6014307161742281E-2</v>
      </c>
      <c r="M45" s="35" t="str">
        <f t="shared" si="5"/>
        <v/>
      </c>
      <c r="O45" s="29">
        <f t="shared" si="6"/>
        <v>261.84291907253544</v>
      </c>
      <c r="P45" s="52">
        <f t="shared" si="7"/>
        <v>261.84291907253544</v>
      </c>
      <c r="Q45" s="35">
        <f t="shared" si="2"/>
        <v>0</v>
      </c>
      <c r="R45" s="84"/>
      <c r="S45" s="82">
        <v>3.5999999999999997E-2</v>
      </c>
      <c r="T45" s="34">
        <f t="shared" si="8"/>
        <v>6.6014307161742281E-2</v>
      </c>
      <c r="U45" s="34">
        <f t="shared" si="9"/>
        <v>3.0014307161742283E-2</v>
      </c>
      <c r="W45" s="35">
        <f t="shared" si="3"/>
        <v>3.5999999999999997E-2</v>
      </c>
      <c r="X45" s="34">
        <f t="shared" si="3"/>
        <v>6.6014307161742281E-2</v>
      </c>
      <c r="Y45" s="35">
        <f t="shared" si="10"/>
        <v>5.6672504763001022E-2</v>
      </c>
      <c r="Z45" s="34">
        <f t="shared" si="11"/>
        <v>9.3418023987412585E-3</v>
      </c>
    </row>
    <row r="46" spans="1:26" x14ac:dyDescent="0.2">
      <c r="A46" s="26">
        <v>43343</v>
      </c>
      <c r="B46" s="27">
        <v>112.33000183105469</v>
      </c>
      <c r="C46" s="28">
        <v>7668217</v>
      </c>
      <c r="D46" s="27">
        <v>280.67999267578125</v>
      </c>
      <c r="E46" s="28">
        <v>608000</v>
      </c>
      <c r="F46" s="27">
        <v>1218.18994140625</v>
      </c>
      <c r="G46" s="28">
        <v>349883</v>
      </c>
      <c r="H46" s="27">
        <v>301.66000366210938</v>
      </c>
      <c r="I46" s="28">
        <v>170593</v>
      </c>
      <c r="J46" s="29">
        <f t="shared" si="0"/>
        <v>1509709301.4715729</v>
      </c>
      <c r="K46" s="30">
        <f t="shared" si="1"/>
        <v>274.6943132062882</v>
      </c>
      <c r="L46" s="35">
        <f t="shared" si="4"/>
        <v>4.9080548666180057E-2</v>
      </c>
      <c r="M46" s="35" t="str">
        <f t="shared" si="5"/>
        <v/>
      </c>
      <c r="O46" s="29">
        <f t="shared" si="6"/>
        <v>274.69431320496966</v>
      </c>
      <c r="P46" s="52">
        <f t="shared" si="7"/>
        <v>274.69431320496966</v>
      </c>
      <c r="Q46" s="35">
        <f t="shared" si="2"/>
        <v>0</v>
      </c>
      <c r="R46" s="84"/>
      <c r="S46" s="82">
        <v>3.0300000000000001E-2</v>
      </c>
      <c r="T46" s="34">
        <f t="shared" si="8"/>
        <v>4.9080548666180057E-2</v>
      </c>
      <c r="U46" s="34">
        <f t="shared" si="9"/>
        <v>1.8780548666180057E-2</v>
      </c>
      <c r="W46" s="35">
        <f t="shared" si="3"/>
        <v>3.0300000000000001E-2</v>
      </c>
      <c r="X46" s="34">
        <f t="shared" si="3"/>
        <v>4.9080548666180057E-2</v>
      </c>
      <c r="Y46" s="35">
        <f t="shared" si="10"/>
        <v>4.9887653314878488E-2</v>
      </c>
      <c r="Z46" s="34">
        <f t="shared" si="11"/>
        <v>-8.0710464869843124E-4</v>
      </c>
    </row>
    <row r="47" spans="1:26" x14ac:dyDescent="0.2">
      <c r="A47" s="26">
        <v>43371</v>
      </c>
      <c r="B47" s="27">
        <v>114.37000274658203</v>
      </c>
      <c r="C47" s="28">
        <v>7680000</v>
      </c>
      <c r="D47" s="27">
        <v>281.01998901367188</v>
      </c>
      <c r="E47" s="28">
        <v>608000</v>
      </c>
      <c r="F47" s="27">
        <v>1193.469970703125</v>
      </c>
      <c r="G47" s="28">
        <v>349341</v>
      </c>
      <c r="H47" s="27">
        <v>264.76998901367188</v>
      </c>
      <c r="I47" s="28">
        <v>171578</v>
      </c>
      <c r="J47" s="29">
        <f t="shared" si="0"/>
        <v>1511578472.6244507</v>
      </c>
      <c r="K47" s="30">
        <f t="shared" si="1"/>
        <v>275.03441224760979</v>
      </c>
      <c r="L47" s="35">
        <f t="shared" si="4"/>
        <v>1.2381000441978873E-3</v>
      </c>
      <c r="M47" s="35" t="str">
        <f t="shared" si="5"/>
        <v/>
      </c>
      <c r="O47" s="29">
        <f t="shared" si="6"/>
        <v>275.03441224628966</v>
      </c>
      <c r="P47" s="52">
        <f t="shared" si="7"/>
        <v>275.03441224628966</v>
      </c>
      <c r="Q47" s="35">
        <f t="shared" si="2"/>
        <v>0</v>
      </c>
      <c r="R47" s="84"/>
      <c r="S47" s="82">
        <v>4.3E-3</v>
      </c>
      <c r="T47" s="34">
        <f t="shared" si="8"/>
        <v>1.2381000441978873E-3</v>
      </c>
      <c r="U47" s="34">
        <f t="shared" si="9"/>
        <v>-3.0618999558021127E-3</v>
      </c>
      <c r="W47" s="35">
        <f t="shared" si="3"/>
        <v>4.3E-3</v>
      </c>
      <c r="X47" s="34">
        <f t="shared" si="3"/>
        <v>1.2381000441978873E-3</v>
      </c>
      <c r="Y47" s="35">
        <f t="shared" si="10"/>
        <v>1.8939208112916019E-2</v>
      </c>
      <c r="Z47" s="34">
        <f t="shared" si="11"/>
        <v>-1.7701108068718132E-2</v>
      </c>
    </row>
    <row r="48" spans="1:26" x14ac:dyDescent="0.2">
      <c r="A48" s="26">
        <v>43404</v>
      </c>
      <c r="B48" s="27">
        <v>106.80999755859375</v>
      </c>
      <c r="C48" s="28">
        <v>7676219</v>
      </c>
      <c r="D48" s="27">
        <v>210.83000183105469</v>
      </c>
      <c r="E48" s="28">
        <v>610000</v>
      </c>
      <c r="F48" s="27">
        <v>1076.77001953125</v>
      </c>
      <c r="G48" s="28">
        <v>349615</v>
      </c>
      <c r="H48" s="27">
        <v>337.32000732421875</v>
      </c>
      <c r="I48" s="28">
        <v>171733</v>
      </c>
      <c r="J48" s="29">
        <f t="shared" si="0"/>
        <v>1382887160.9624023</v>
      </c>
      <c r="K48" s="30">
        <f t="shared" si="1"/>
        <v>251.61879744139182</v>
      </c>
      <c r="L48" s="35">
        <f t="shared" si="4"/>
        <v>-8.5137036543402433E-2</v>
      </c>
      <c r="M48" s="35">
        <f t="shared" si="5"/>
        <v>-8.5137036543402433E-2</v>
      </c>
      <c r="O48" s="29">
        <f t="shared" si="6"/>
        <v>251.6187974401841</v>
      </c>
      <c r="P48" s="52">
        <f t="shared" si="7"/>
        <v>275.03441224628966</v>
      </c>
      <c r="Q48" s="35">
        <f t="shared" si="2"/>
        <v>-8.5137036543402433E-2</v>
      </c>
      <c r="R48" s="84"/>
      <c r="S48" s="82">
        <v>-6.9400000000000003E-2</v>
      </c>
      <c r="T48" s="34">
        <f t="shared" si="8"/>
        <v>-8.5137036543402433E-2</v>
      </c>
      <c r="U48" s="34">
        <f t="shared" si="9"/>
        <v>-1.573703654340243E-2</v>
      </c>
      <c r="W48" s="35">
        <f t="shared" si="3"/>
        <v>-6.9400000000000003E-2</v>
      </c>
      <c r="X48" s="34">
        <f t="shared" si="3"/>
        <v>-8.5137036543402433E-2</v>
      </c>
      <c r="Y48" s="35">
        <f t="shared" si="10"/>
        <v>-6.8787730786492973E-2</v>
      </c>
      <c r="Z48" s="34">
        <f t="shared" si="11"/>
        <v>-1.634930575690946E-2</v>
      </c>
    </row>
    <row r="49" spans="1:26" x14ac:dyDescent="0.2">
      <c r="A49" s="26">
        <v>43434</v>
      </c>
      <c r="B49" s="27">
        <v>110.88999938964844</v>
      </c>
      <c r="C49" s="28">
        <v>7676219</v>
      </c>
      <c r="D49" s="27">
        <v>163.42999267578125</v>
      </c>
      <c r="E49" s="28">
        <v>610000</v>
      </c>
      <c r="F49" s="27">
        <v>1094.4300537109375</v>
      </c>
      <c r="G49" s="28">
        <v>349615</v>
      </c>
      <c r="H49" s="27">
        <v>350.48001098632812</v>
      </c>
      <c r="I49" s="28">
        <v>171733</v>
      </c>
      <c r="J49" s="29">
        <f t="shared" si="0"/>
        <v>1393726362.7118988</v>
      </c>
      <c r="K49" s="30">
        <f t="shared" si="1"/>
        <v>253.59100962646616</v>
      </c>
      <c r="L49" s="35">
        <f t="shared" si="4"/>
        <v>7.8380955839902899E-3</v>
      </c>
      <c r="M49" s="35" t="str">
        <f t="shared" si="5"/>
        <v/>
      </c>
      <c r="O49" s="29">
        <f t="shared" si="6"/>
        <v>253.59100962524894</v>
      </c>
      <c r="P49" s="52">
        <f t="shared" si="7"/>
        <v>275.03441224628966</v>
      </c>
      <c r="Q49" s="35">
        <f t="shared" si="2"/>
        <v>-7.7966253189576951E-2</v>
      </c>
      <c r="R49" s="84"/>
      <c r="S49" s="82">
        <v>1.7899999999999999E-2</v>
      </c>
      <c r="T49" s="34">
        <f t="shared" si="8"/>
        <v>7.8380955839902899E-3</v>
      </c>
      <c r="U49" s="34">
        <f t="shared" si="9"/>
        <v>-1.0061904416009709E-2</v>
      </c>
      <c r="W49" s="35">
        <f t="shared" si="3"/>
        <v>1.7899999999999999E-2</v>
      </c>
      <c r="X49" s="34">
        <f t="shared" si="3"/>
        <v>7.8380955839902899E-3</v>
      </c>
      <c r="Y49" s="35">
        <f t="shared" si="10"/>
        <v>3.5127625603173306E-2</v>
      </c>
      <c r="Z49" s="34">
        <f t="shared" si="11"/>
        <v>-2.7289530019183016E-2</v>
      </c>
    </row>
    <row r="50" spans="1:26" x14ac:dyDescent="0.2">
      <c r="A50" s="26">
        <v>43465</v>
      </c>
      <c r="B50" s="27">
        <v>101.56999969482422</v>
      </c>
      <c r="C50" s="28">
        <v>7683000</v>
      </c>
      <c r="D50" s="27">
        <v>133.5</v>
      </c>
      <c r="E50" s="28">
        <v>610000</v>
      </c>
      <c r="F50" s="27">
        <v>1035.6099853515625</v>
      </c>
      <c r="G50" s="28">
        <v>349678</v>
      </c>
      <c r="H50" s="27">
        <v>332.79998779296875</v>
      </c>
      <c r="I50" s="28">
        <v>172602</v>
      </c>
      <c r="J50" s="29">
        <f t="shared" si="0"/>
        <v>1281369279.6061401</v>
      </c>
      <c r="K50" s="30">
        <f t="shared" si="1"/>
        <v>233.1474369813788</v>
      </c>
      <c r="L50" s="35">
        <f t="shared" si="4"/>
        <v>-8.0616314731347449E-2</v>
      </c>
      <c r="M50" s="35">
        <f t="shared" si="5"/>
        <v>-8.0616314731347449E-2</v>
      </c>
      <c r="O50" s="29">
        <f t="shared" si="6"/>
        <v>233.14743698025973</v>
      </c>
      <c r="P50" s="52">
        <f t="shared" si="7"/>
        <v>275.03441224628966</v>
      </c>
      <c r="Q50" s="35">
        <f t="shared" si="2"/>
        <v>-0.1522972159153696</v>
      </c>
      <c r="R50" s="84"/>
      <c r="S50" s="82">
        <v>-9.1800000000000007E-2</v>
      </c>
      <c r="T50" s="34">
        <f t="shared" si="8"/>
        <v>-8.0616314731347449E-2</v>
      </c>
      <c r="U50" s="34">
        <f t="shared" si="9"/>
        <v>1.1183685268652557E-2</v>
      </c>
      <c r="W50" s="35">
        <f t="shared" si="3"/>
        <v>-9.1800000000000007E-2</v>
      </c>
      <c r="X50" s="34">
        <f t="shared" si="3"/>
        <v>-8.0616314731347449E-2</v>
      </c>
      <c r="Y50" s="35">
        <f t="shared" si="10"/>
        <v>-9.5451006652799097E-2</v>
      </c>
      <c r="Z50" s="34">
        <f t="shared" si="11"/>
        <v>1.4834691921451648E-2</v>
      </c>
    </row>
    <row r="51" spans="1:26" x14ac:dyDescent="0.2">
      <c r="A51" s="26">
        <v>43496</v>
      </c>
      <c r="B51" s="27">
        <v>104.43000030517578</v>
      </c>
      <c r="C51" s="28">
        <v>7672213</v>
      </c>
      <c r="D51" s="27">
        <v>143.75</v>
      </c>
      <c r="E51" s="28">
        <v>610000</v>
      </c>
      <c r="F51" s="27">
        <v>1116.3699951171875</v>
      </c>
      <c r="G51" s="28">
        <v>349291</v>
      </c>
      <c r="H51" s="27">
        <v>307.01998901367188</v>
      </c>
      <c r="I51" s="28">
        <v>172602</v>
      </c>
      <c r="J51" s="29">
        <f t="shared" si="0"/>
        <v>1331826962.0395889</v>
      </c>
      <c r="K51" s="30">
        <f t="shared" si="1"/>
        <v>242.32830273382987</v>
      </c>
      <c r="L51" s="35">
        <f t="shared" si="4"/>
        <v>3.9377939862081046E-2</v>
      </c>
      <c r="M51" s="35" t="str">
        <f t="shared" si="5"/>
        <v/>
      </c>
      <c r="O51" s="29">
        <f t="shared" si="6"/>
        <v>242.32830273266671</v>
      </c>
      <c r="P51" s="52">
        <f t="shared" si="7"/>
        <v>275.03441224628966</v>
      </c>
      <c r="Q51" s="35">
        <f t="shared" si="2"/>
        <v>-0.11891642666276636</v>
      </c>
      <c r="R51" s="84"/>
      <c r="S51" s="82">
        <v>7.8700000000000006E-2</v>
      </c>
      <c r="T51" s="34">
        <f t="shared" si="8"/>
        <v>3.9377939862081046E-2</v>
      </c>
      <c r="U51" s="34">
        <f t="shared" si="9"/>
        <v>-3.932206013791896E-2</v>
      </c>
      <c r="W51" s="35">
        <f t="shared" si="3"/>
        <v>7.8700000000000006E-2</v>
      </c>
      <c r="X51" s="34">
        <f t="shared" si="3"/>
        <v>3.9377939862081046E-2</v>
      </c>
      <c r="Y51" s="35">
        <f t="shared" si="10"/>
        <v>0.10749937438314706</v>
      </c>
      <c r="Z51" s="34">
        <f t="shared" si="11"/>
        <v>-6.8121434521066018E-2</v>
      </c>
    </row>
    <row r="52" spans="1:26" x14ac:dyDescent="0.2">
      <c r="A52" s="26">
        <v>43524</v>
      </c>
      <c r="B52" s="27">
        <v>112.02999877929688</v>
      </c>
      <c r="C52" s="28">
        <v>7672213</v>
      </c>
      <c r="D52" s="27">
        <v>154.25999450683594</v>
      </c>
      <c r="E52" s="28">
        <v>606000</v>
      </c>
      <c r="F52" s="27">
        <v>1119.9200439453125</v>
      </c>
      <c r="G52" s="28">
        <v>349291</v>
      </c>
      <c r="H52" s="27">
        <v>319.8800048828125</v>
      </c>
      <c r="I52" s="28">
        <v>172721</v>
      </c>
      <c r="J52" s="29">
        <f t="shared" si="0"/>
        <v>1399427556.0887146</v>
      </c>
      <c r="K52" s="30">
        <f t="shared" si="1"/>
        <v>254.62835197944375</v>
      </c>
      <c r="L52" s="35">
        <f t="shared" si="4"/>
        <v>5.0757790595859831E-2</v>
      </c>
      <c r="M52" s="35" t="str">
        <f t="shared" si="5"/>
        <v/>
      </c>
      <c r="O52" s="29">
        <f t="shared" si="6"/>
        <v>254.62835197822153</v>
      </c>
      <c r="P52" s="52">
        <f t="shared" si="7"/>
        <v>275.03441224628966</v>
      </c>
      <c r="Q52" s="35">
        <f t="shared" si="2"/>
        <v>-7.4194571149863164E-2</v>
      </c>
      <c r="R52" s="84"/>
      <c r="S52" s="82">
        <v>2.9700000000000001E-2</v>
      </c>
      <c r="T52" s="34">
        <f t="shared" si="8"/>
        <v>5.0757790595859831E-2</v>
      </c>
      <c r="U52" s="34">
        <f t="shared" si="9"/>
        <v>2.105779059585983E-2</v>
      </c>
      <c r="W52" s="35">
        <f t="shared" si="3"/>
        <v>2.9700000000000001E-2</v>
      </c>
      <c r="X52" s="34">
        <f t="shared" si="3"/>
        <v>5.0757790595859831E-2</v>
      </c>
      <c r="Y52" s="35">
        <f t="shared" si="10"/>
        <v>4.9173458425602432E-2</v>
      </c>
      <c r="Z52" s="34">
        <f t="shared" si="11"/>
        <v>1.5843321702573993E-3</v>
      </c>
    </row>
    <row r="53" spans="1:26" x14ac:dyDescent="0.2">
      <c r="A53" s="26">
        <v>43553</v>
      </c>
      <c r="B53" s="27">
        <v>117.94000244140625</v>
      </c>
      <c r="C53" s="28">
        <v>7666000</v>
      </c>
      <c r="D53" s="27">
        <v>179.55999755859375</v>
      </c>
      <c r="E53" s="28">
        <v>606000</v>
      </c>
      <c r="F53" s="27">
        <v>1173.31005859375</v>
      </c>
      <c r="G53" s="28">
        <v>348811</v>
      </c>
      <c r="H53" s="27">
        <v>279.8599853515625</v>
      </c>
      <c r="I53" s="28">
        <v>173682</v>
      </c>
      <c r="J53" s="29">
        <f t="shared" si="0"/>
        <v>1470811514.0603027</v>
      </c>
      <c r="K53" s="30">
        <f t="shared" si="1"/>
        <v>267.6167910715514</v>
      </c>
      <c r="L53" s="35">
        <f t="shared" si="4"/>
        <v>5.100939856515363E-2</v>
      </c>
      <c r="M53" s="35" t="str">
        <f t="shared" si="5"/>
        <v/>
      </c>
      <c r="O53" s="29">
        <f t="shared" si="6"/>
        <v>267.61679107026686</v>
      </c>
      <c r="P53" s="52">
        <f t="shared" si="7"/>
        <v>275.03441224628966</v>
      </c>
      <c r="Q53" s="35">
        <f t="shared" si="2"/>
        <v>-2.6969793035863554E-2</v>
      </c>
      <c r="R53" s="84"/>
      <c r="S53" s="82">
        <v>1.7899999999999999E-2</v>
      </c>
      <c r="T53" s="34">
        <f t="shared" si="8"/>
        <v>5.100939856515363E-2</v>
      </c>
      <c r="U53" s="34">
        <f t="shared" si="9"/>
        <v>3.310939856515363E-2</v>
      </c>
      <c r="W53" s="35">
        <f t="shared" si="3"/>
        <v>1.7899999999999999E-2</v>
      </c>
      <c r="X53" s="34">
        <f t="shared" si="3"/>
        <v>5.100939856515363E-2</v>
      </c>
      <c r="Y53" s="35">
        <f t="shared" si="10"/>
        <v>3.5127625603173306E-2</v>
      </c>
      <c r="Z53" s="34">
        <f t="shared" si="11"/>
        <v>1.5881772961980324E-2</v>
      </c>
    </row>
    <row r="54" spans="1:26" x14ac:dyDescent="0.2">
      <c r="A54" s="26">
        <v>43585</v>
      </c>
      <c r="B54" s="27">
        <v>130.60000610351562</v>
      </c>
      <c r="C54" s="28">
        <v>7662818</v>
      </c>
      <c r="D54" s="27">
        <v>181</v>
      </c>
      <c r="E54" s="28">
        <v>609000</v>
      </c>
      <c r="F54" s="27">
        <v>1188.47998046875</v>
      </c>
      <c r="G54" s="28">
        <v>348264</v>
      </c>
      <c r="H54" s="27">
        <v>238.69000244140625</v>
      </c>
      <c r="I54" s="28">
        <v>173721</v>
      </c>
      <c r="J54" s="29">
        <f t="shared" si="0"/>
        <v>1566363335.4022217</v>
      </c>
      <c r="K54" s="30">
        <f t="shared" si="1"/>
        <v>285.00261621917679</v>
      </c>
      <c r="L54" s="35">
        <f t="shared" si="4"/>
        <v>6.4965374848161117E-2</v>
      </c>
      <c r="M54" s="35" t="str">
        <f t="shared" si="5"/>
        <v/>
      </c>
      <c r="O54" s="29">
        <f t="shared" si="6"/>
        <v>285.00261621780874</v>
      </c>
      <c r="P54" s="52">
        <f t="shared" si="7"/>
        <v>285.00261621780874</v>
      </c>
      <c r="Q54" s="35">
        <f t="shared" si="2"/>
        <v>0</v>
      </c>
      <c r="R54" s="84"/>
      <c r="S54" s="82">
        <v>3.9300000000000002E-2</v>
      </c>
      <c r="T54" s="34">
        <f t="shared" si="8"/>
        <v>6.4965374848161117E-2</v>
      </c>
      <c r="U54" s="34">
        <f t="shared" si="9"/>
        <v>2.5665374848161115E-2</v>
      </c>
      <c r="W54" s="35">
        <f t="shared" si="3"/>
        <v>3.9300000000000002E-2</v>
      </c>
      <c r="X54" s="34">
        <f t="shared" si="3"/>
        <v>6.4965374848161117E-2</v>
      </c>
      <c r="Y54" s="35">
        <f t="shared" si="10"/>
        <v>6.0600576654019342E-2</v>
      </c>
      <c r="Z54" s="34">
        <f t="shared" si="11"/>
        <v>4.3647981941417752E-3</v>
      </c>
    </row>
    <row r="55" spans="1:26" x14ac:dyDescent="0.2">
      <c r="A55" s="26">
        <v>43616</v>
      </c>
      <c r="B55" s="27">
        <v>123.68000030517578</v>
      </c>
      <c r="C55" s="28">
        <v>7662818</v>
      </c>
      <c r="D55" s="27">
        <v>135.46000671386719</v>
      </c>
      <c r="E55" s="28">
        <v>609000</v>
      </c>
      <c r="F55" s="27">
        <v>1103.6300048828125</v>
      </c>
      <c r="G55" s="28">
        <v>348264</v>
      </c>
      <c r="H55" s="27">
        <v>185.16000366210938</v>
      </c>
      <c r="I55" s="28">
        <v>177270</v>
      </c>
      <c r="J55" s="29">
        <f t="shared" si="0"/>
        <v>1447410390.5369415</v>
      </c>
      <c r="K55" s="30">
        <f t="shared" si="1"/>
        <v>263.35891470539309</v>
      </c>
      <c r="L55" s="35">
        <f t="shared" si="4"/>
        <v>-7.5942115201984461E-2</v>
      </c>
      <c r="M55" s="35">
        <f t="shared" si="5"/>
        <v>-7.5942115201984461E-2</v>
      </c>
      <c r="O55" s="29">
        <f t="shared" si="6"/>
        <v>263.35891470412895</v>
      </c>
      <c r="P55" s="52">
        <f t="shared" si="7"/>
        <v>285.00261621780874</v>
      </c>
      <c r="Q55" s="35">
        <f t="shared" si="2"/>
        <v>-7.5942115201984461E-2</v>
      </c>
      <c r="R55" s="84"/>
      <c r="S55" s="82">
        <v>-6.5799999999999997E-2</v>
      </c>
      <c r="T55" s="34">
        <f t="shared" si="8"/>
        <v>-7.5942115201984461E-2</v>
      </c>
      <c r="U55" s="34">
        <f t="shared" si="9"/>
        <v>-1.0142115201984464E-2</v>
      </c>
      <c r="W55" s="35">
        <f t="shared" si="3"/>
        <v>-6.5799999999999997E-2</v>
      </c>
      <c r="X55" s="34">
        <f t="shared" si="3"/>
        <v>-7.5942115201984461E-2</v>
      </c>
      <c r="Y55" s="35">
        <f t="shared" si="10"/>
        <v>-6.4502561450836618E-2</v>
      </c>
      <c r="Z55" s="34">
        <f t="shared" si="11"/>
        <v>-1.1439553751147843E-2</v>
      </c>
    </row>
    <row r="56" spans="1:26" x14ac:dyDescent="0.2">
      <c r="A56" s="26">
        <v>43644</v>
      </c>
      <c r="B56" s="27">
        <v>133.96000671386719</v>
      </c>
      <c r="C56" s="28">
        <v>7643000</v>
      </c>
      <c r="D56" s="27">
        <v>164.22999572753906</v>
      </c>
      <c r="E56" s="28">
        <v>609000</v>
      </c>
      <c r="F56" s="27">
        <v>1080.9100341796875</v>
      </c>
      <c r="G56" s="28">
        <v>348008</v>
      </c>
      <c r="H56" s="27">
        <v>223.46000671386719</v>
      </c>
      <c r="I56" s="28">
        <v>179118</v>
      </c>
      <c r="J56" s="29">
        <f t="shared" si="0"/>
        <v>1540063447.3695374</v>
      </c>
      <c r="K56" s="30">
        <f t="shared" si="1"/>
        <v>280.21730445518449</v>
      </c>
      <c r="L56" s="35">
        <f t="shared" si="4"/>
        <v>6.4012983075397489E-2</v>
      </c>
      <c r="M56" s="35" t="str">
        <f t="shared" si="5"/>
        <v/>
      </c>
      <c r="O56" s="29">
        <f t="shared" si="6"/>
        <v>280.2173044538394</v>
      </c>
      <c r="P56" s="52">
        <f t="shared" si="7"/>
        <v>285.00261621780874</v>
      </c>
      <c r="Q56" s="35">
        <f t="shared" si="2"/>
        <v>-1.6790413461721498E-2</v>
      </c>
      <c r="R56" s="84"/>
      <c r="S56" s="82">
        <v>6.8900000000000003E-2</v>
      </c>
      <c r="T56" s="34">
        <f t="shared" si="8"/>
        <v>6.4012983075397489E-2</v>
      </c>
      <c r="U56" s="34">
        <f t="shared" si="9"/>
        <v>-4.8870169246025136E-3</v>
      </c>
      <c r="W56" s="35">
        <f t="shared" si="3"/>
        <v>6.8900000000000003E-2</v>
      </c>
      <c r="X56" s="34">
        <f t="shared" si="3"/>
        <v>6.4012983075397489E-2</v>
      </c>
      <c r="Y56" s="35">
        <f t="shared" si="10"/>
        <v>9.5834191191638135E-2</v>
      </c>
      <c r="Z56" s="34">
        <f t="shared" si="11"/>
        <v>-3.1821208116240646E-2</v>
      </c>
    </row>
    <row r="57" spans="1:26" x14ac:dyDescent="0.2">
      <c r="A57" s="26">
        <v>43677</v>
      </c>
      <c r="B57" s="27">
        <v>136.27000427246094</v>
      </c>
      <c r="C57" s="28">
        <v>7635409</v>
      </c>
      <c r="D57" s="27">
        <v>168.72000122070312</v>
      </c>
      <c r="E57" s="28">
        <v>609000</v>
      </c>
      <c r="F57" s="27">
        <v>1216.6800537109375</v>
      </c>
      <c r="G57" s="28">
        <v>347345</v>
      </c>
      <c r="H57" s="27">
        <v>241.61000061035156</v>
      </c>
      <c r="I57" s="28">
        <v>179127</v>
      </c>
      <c r="J57" s="29">
        <f t="shared" si="0"/>
        <v>1609114305.6309509</v>
      </c>
      <c r="K57" s="30">
        <f t="shared" si="1"/>
        <v>292.78123187348615</v>
      </c>
      <c r="L57" s="35">
        <f t="shared" si="4"/>
        <v>4.4836372410080871E-2</v>
      </c>
      <c r="M57" s="35" t="str">
        <f t="shared" si="5"/>
        <v/>
      </c>
      <c r="O57" s="29">
        <f t="shared" si="6"/>
        <v>292.78123187208075</v>
      </c>
      <c r="P57" s="52">
        <f t="shared" si="7"/>
        <v>292.78123187208075</v>
      </c>
      <c r="Q57" s="35">
        <f t="shared" si="2"/>
        <v>0</v>
      </c>
      <c r="R57" s="84"/>
      <c r="S57" s="82">
        <v>1.3100000000000001E-2</v>
      </c>
      <c r="T57" s="34">
        <f t="shared" si="8"/>
        <v>4.4836372410080871E-2</v>
      </c>
      <c r="U57" s="34">
        <f t="shared" si="9"/>
        <v>3.1736372410080871E-2</v>
      </c>
      <c r="W57" s="35">
        <f t="shared" si="3"/>
        <v>1.3100000000000001E-2</v>
      </c>
      <c r="X57" s="34">
        <f t="shared" si="3"/>
        <v>4.4836372410080871E-2</v>
      </c>
      <c r="Y57" s="35">
        <f t="shared" si="10"/>
        <v>2.9414066488964857E-2</v>
      </c>
      <c r="Z57" s="34">
        <f t="shared" si="11"/>
        <v>1.5422305921116014E-2</v>
      </c>
    </row>
    <row r="58" spans="1:26" x14ac:dyDescent="0.2">
      <c r="A58" s="26">
        <v>43707</v>
      </c>
      <c r="B58" s="27">
        <v>137.86000061035156</v>
      </c>
      <c r="C58" s="28">
        <v>7635409</v>
      </c>
      <c r="D58" s="27">
        <v>167.50999450683594</v>
      </c>
      <c r="E58" s="28">
        <v>609000</v>
      </c>
      <c r="F58" s="27">
        <v>1188.0999755859375</v>
      </c>
      <c r="G58" s="28">
        <v>347345</v>
      </c>
      <c r="H58" s="27">
        <v>225.61000061035156</v>
      </c>
      <c r="I58" s="28">
        <v>179127</v>
      </c>
      <c r="J58" s="29">
        <f t="shared" si="0"/>
        <v>1607724504.6541748</v>
      </c>
      <c r="K58" s="30">
        <f t="shared" si="1"/>
        <v>292.52835509486601</v>
      </c>
      <c r="L58" s="35">
        <f t="shared" si="4"/>
        <v>-8.6370556268922094E-4</v>
      </c>
      <c r="M58" s="35">
        <f t="shared" si="5"/>
        <v>-8.6370556268922094E-4</v>
      </c>
      <c r="O58" s="29">
        <f t="shared" si="6"/>
        <v>292.52835509346181</v>
      </c>
      <c r="P58" s="52">
        <f t="shared" si="7"/>
        <v>292.78123187208075</v>
      </c>
      <c r="Q58" s="35">
        <f t="shared" si="2"/>
        <v>-8.6370556268933196E-4</v>
      </c>
      <c r="R58" s="84"/>
      <c r="S58" s="82">
        <v>-1.8100000000000002E-2</v>
      </c>
      <c r="T58" s="34">
        <f t="shared" si="8"/>
        <v>-8.6370556268922094E-4</v>
      </c>
      <c r="U58" s="34">
        <f t="shared" si="9"/>
        <v>1.7236294437310781E-2</v>
      </c>
      <c r="W58" s="35">
        <f t="shared" si="3"/>
        <v>-1.8100000000000002E-2</v>
      </c>
      <c r="X58" s="34">
        <f t="shared" si="3"/>
        <v>-8.6370556268922094E-4</v>
      </c>
      <c r="Y58" s="35">
        <f t="shared" si="10"/>
        <v>-7.7240677533901032E-3</v>
      </c>
      <c r="Z58" s="34">
        <f t="shared" si="11"/>
        <v>6.8603621907008822E-3</v>
      </c>
    </row>
    <row r="59" spans="1:26" x14ac:dyDescent="0.2">
      <c r="A59" s="26">
        <v>43738</v>
      </c>
      <c r="B59" s="27">
        <v>139.02999877929688</v>
      </c>
      <c r="C59" s="28">
        <v>7634000</v>
      </c>
      <c r="D59" s="27">
        <v>174.07000732421875</v>
      </c>
      <c r="E59" s="28">
        <v>609000</v>
      </c>
      <c r="F59" s="27">
        <v>1219</v>
      </c>
      <c r="G59" s="28">
        <v>344774</v>
      </c>
      <c r="H59" s="27">
        <v>240.8699951171875</v>
      </c>
      <c r="I59" s="28">
        <v>180000</v>
      </c>
      <c r="J59" s="29">
        <f t="shared" si="0"/>
        <v>1630999750.2626953</v>
      </c>
      <c r="K59" s="30">
        <f t="shared" si="1"/>
        <v>296.76332774881217</v>
      </c>
      <c r="L59" s="35">
        <f t="shared" si="4"/>
        <v>1.4477135567158239E-2</v>
      </c>
      <c r="M59" s="35" t="str">
        <f t="shared" si="5"/>
        <v/>
      </c>
      <c r="O59" s="29">
        <f t="shared" si="6"/>
        <v>296.76332774738768</v>
      </c>
      <c r="P59" s="52">
        <f t="shared" si="7"/>
        <v>296.76332774738768</v>
      </c>
      <c r="Q59" s="35">
        <f t="shared" si="2"/>
        <v>0</v>
      </c>
      <c r="R59" s="84"/>
      <c r="S59" s="82">
        <v>1.72E-2</v>
      </c>
      <c r="T59" s="34">
        <f t="shared" si="8"/>
        <v>1.4477135567158239E-2</v>
      </c>
      <c r="U59" s="34">
        <f t="shared" si="9"/>
        <v>-2.7228644328417609E-3</v>
      </c>
      <c r="W59" s="35">
        <f t="shared" si="3"/>
        <v>1.72E-2</v>
      </c>
      <c r="X59" s="34">
        <f t="shared" si="3"/>
        <v>1.4477135567158239E-2</v>
      </c>
      <c r="Y59" s="35">
        <f t="shared" si="10"/>
        <v>3.4294398232351239E-2</v>
      </c>
      <c r="Z59" s="34">
        <f t="shared" si="11"/>
        <v>-1.9817262665193E-2</v>
      </c>
    </row>
    <row r="60" spans="1:26" x14ac:dyDescent="0.2">
      <c r="A60" s="26">
        <v>43769</v>
      </c>
      <c r="B60" s="27">
        <v>143.3699951171875</v>
      </c>
      <c r="C60" s="28">
        <v>7628806</v>
      </c>
      <c r="D60" s="27">
        <v>201.02000427246094</v>
      </c>
      <c r="E60" s="28">
        <v>612000</v>
      </c>
      <c r="F60" s="27">
        <v>1260.1099853515625</v>
      </c>
      <c r="G60" s="28">
        <v>343551</v>
      </c>
      <c r="H60" s="27">
        <v>314.92001342773438</v>
      </c>
      <c r="I60" s="28">
        <v>180245</v>
      </c>
      <c r="J60" s="29">
        <f t="shared" si="0"/>
        <v>1706440924.9825134</v>
      </c>
      <c r="K60" s="30">
        <f t="shared" si="1"/>
        <v>310.48998469987964</v>
      </c>
      <c r="L60" s="35">
        <f t="shared" si="4"/>
        <v>4.6254559332499667E-2</v>
      </c>
      <c r="M60" s="35" t="str">
        <f t="shared" si="5"/>
        <v/>
      </c>
      <c r="O60" s="29">
        <f t="shared" si="6"/>
        <v>310.48998469838926</v>
      </c>
      <c r="P60" s="52">
        <f t="shared" si="7"/>
        <v>310.48998469838926</v>
      </c>
      <c r="Q60" s="35">
        <f t="shared" si="2"/>
        <v>0</v>
      </c>
      <c r="R60" s="84"/>
      <c r="S60" s="82">
        <v>2.0400000000000001E-2</v>
      </c>
      <c r="T60" s="34">
        <f t="shared" si="8"/>
        <v>4.6254559332499667E-2</v>
      </c>
      <c r="U60" s="34">
        <f t="shared" si="9"/>
        <v>2.5854559332499666E-2</v>
      </c>
      <c r="W60" s="35">
        <f t="shared" si="3"/>
        <v>2.0400000000000001E-2</v>
      </c>
      <c r="X60" s="34">
        <f t="shared" si="3"/>
        <v>4.6254559332499667E-2</v>
      </c>
      <c r="Y60" s="35">
        <f t="shared" si="10"/>
        <v>3.810343764182355E-2</v>
      </c>
      <c r="Z60" s="34">
        <f t="shared" si="11"/>
        <v>8.1511216906761177E-3</v>
      </c>
    </row>
    <row r="61" spans="1:26" x14ac:dyDescent="0.2">
      <c r="A61" s="26">
        <v>43798</v>
      </c>
      <c r="B61" s="27">
        <v>151.3800048828125</v>
      </c>
      <c r="C61" s="28">
        <v>7628806</v>
      </c>
      <c r="D61" s="27">
        <v>216.74000549316406</v>
      </c>
      <c r="E61" s="28">
        <v>612000</v>
      </c>
      <c r="F61" s="27">
        <v>1304.9599609375</v>
      </c>
      <c r="G61" s="28">
        <v>343551</v>
      </c>
      <c r="H61" s="27">
        <v>329.94000244140625</v>
      </c>
      <c r="I61" s="28">
        <v>180245</v>
      </c>
      <c r="J61" s="29">
        <f t="shared" si="0"/>
        <v>1795283908.171936</v>
      </c>
      <c r="K61" s="30">
        <f t="shared" si="1"/>
        <v>326.655124721623</v>
      </c>
      <c r="L61" s="35">
        <f t="shared" si="4"/>
        <v>5.2063321905112758E-2</v>
      </c>
      <c r="M61" s="35" t="str">
        <f t="shared" si="5"/>
        <v/>
      </c>
      <c r="O61" s="29">
        <f t="shared" si="6"/>
        <v>326.65512472005503</v>
      </c>
      <c r="P61" s="52">
        <f t="shared" si="7"/>
        <v>326.65512472005503</v>
      </c>
      <c r="Q61" s="35">
        <f t="shared" si="2"/>
        <v>0</v>
      </c>
      <c r="R61" s="84"/>
      <c r="S61" s="82">
        <v>3.4000000000000002E-2</v>
      </c>
      <c r="T61" s="34">
        <f t="shared" si="8"/>
        <v>5.2063321905112758E-2</v>
      </c>
      <c r="U61" s="34">
        <f t="shared" si="9"/>
        <v>1.8063321905112756E-2</v>
      </c>
      <c r="W61" s="35">
        <f t="shared" si="3"/>
        <v>3.4000000000000002E-2</v>
      </c>
      <c r="X61" s="34">
        <f t="shared" si="3"/>
        <v>5.2063321905112758E-2</v>
      </c>
      <c r="Y61" s="35">
        <f t="shared" si="10"/>
        <v>5.4291855132080839E-2</v>
      </c>
      <c r="Z61" s="34">
        <f t="shared" si="11"/>
        <v>-2.228533226968081E-3</v>
      </c>
    </row>
    <row r="62" spans="1:26" x14ac:dyDescent="0.2">
      <c r="A62" s="26">
        <v>43830</v>
      </c>
      <c r="B62" s="27">
        <v>157.69999694824219</v>
      </c>
      <c r="C62" s="28">
        <v>7611000</v>
      </c>
      <c r="D62" s="27">
        <v>235.30000305175781</v>
      </c>
      <c r="E62" s="28">
        <v>612000</v>
      </c>
      <c r="F62" s="27">
        <v>1337.02001953125</v>
      </c>
      <c r="G62" s="28">
        <v>342066</v>
      </c>
      <c r="H62" s="27">
        <v>418.32998657226562</v>
      </c>
      <c r="I62" s="28">
        <v>181062</v>
      </c>
      <c r="J62" s="29">
        <f t="shared" si="0"/>
        <v>1877351032.6704712</v>
      </c>
      <c r="K62" s="30">
        <f t="shared" si="1"/>
        <v>341.58738511040519</v>
      </c>
      <c r="L62" s="35">
        <f t="shared" si="4"/>
        <v>4.5712616330472411E-2</v>
      </c>
      <c r="M62" s="35" t="str">
        <f t="shared" si="5"/>
        <v/>
      </c>
      <c r="O62" s="29">
        <f t="shared" si="6"/>
        <v>341.58738510876555</v>
      </c>
      <c r="P62" s="52">
        <f t="shared" si="7"/>
        <v>341.58738510876555</v>
      </c>
      <c r="Q62" s="35">
        <f t="shared" si="2"/>
        <v>0</v>
      </c>
      <c r="R62" s="84"/>
      <c r="S62" s="82">
        <v>2.86E-2</v>
      </c>
      <c r="T62" s="34">
        <f t="shared" si="8"/>
        <v>4.5712616330472411E-2</v>
      </c>
      <c r="U62" s="34">
        <f t="shared" si="9"/>
        <v>1.711261633047241E-2</v>
      </c>
      <c r="W62" s="35">
        <f t="shared" si="3"/>
        <v>2.86E-2</v>
      </c>
      <c r="X62" s="34">
        <f t="shared" si="3"/>
        <v>4.5712616330472411E-2</v>
      </c>
      <c r="Y62" s="35">
        <f t="shared" si="10"/>
        <v>4.7864101128596327E-2</v>
      </c>
      <c r="Z62" s="34">
        <f t="shared" si="11"/>
        <v>-2.1514847981239163E-3</v>
      </c>
    </row>
    <row r="63" spans="1:26" x14ac:dyDescent="0.2">
      <c r="A63" s="26">
        <v>43861</v>
      </c>
      <c r="B63" s="27">
        <v>170.22999572753906</v>
      </c>
      <c r="C63" s="28">
        <v>7606047</v>
      </c>
      <c r="D63" s="27">
        <v>236.42999267578125</v>
      </c>
      <c r="E63" s="28">
        <v>612000</v>
      </c>
      <c r="F63" s="27">
        <v>1434.22998046875</v>
      </c>
      <c r="G63" s="28">
        <v>340980</v>
      </c>
      <c r="H63" s="27">
        <v>650.57000732421875</v>
      </c>
      <c r="I63" s="28">
        <v>181062</v>
      </c>
      <c r="J63" s="29">
        <f t="shared" si="0"/>
        <v>2046309749.2374115</v>
      </c>
      <c r="K63" s="30">
        <f t="shared" si="1"/>
        <v>372.32972640904592</v>
      </c>
      <c r="L63" s="35">
        <f t="shared" si="4"/>
        <v>8.9998467855317399E-2</v>
      </c>
      <c r="M63" s="35" t="str">
        <f t="shared" si="5"/>
        <v/>
      </c>
      <c r="O63" s="29">
        <f t="shared" si="6"/>
        <v>372.3297264072587</v>
      </c>
      <c r="P63" s="52">
        <f t="shared" si="7"/>
        <v>372.3297264072587</v>
      </c>
      <c r="Q63" s="35">
        <f t="shared" si="2"/>
        <v>0</v>
      </c>
      <c r="R63" s="84"/>
      <c r="S63" s="82">
        <v>-1.6000000000000001E-3</v>
      </c>
      <c r="T63" s="34">
        <f t="shared" si="8"/>
        <v>8.9998467855317399E-2</v>
      </c>
      <c r="U63" s="34">
        <f t="shared" si="9"/>
        <v>9.1598467855317403E-2</v>
      </c>
      <c r="W63" s="35">
        <f t="shared" si="3"/>
        <v>-1.6000000000000001E-3</v>
      </c>
      <c r="X63" s="34">
        <f t="shared" si="3"/>
        <v>8.9998467855317399E-2</v>
      </c>
      <c r="Y63" s="35">
        <f t="shared" si="10"/>
        <v>1.1916291701701462E-2</v>
      </c>
      <c r="Z63" s="34">
        <f t="shared" si="11"/>
        <v>7.8082176153615943E-2</v>
      </c>
    </row>
    <row r="64" spans="1:26" x14ac:dyDescent="0.2">
      <c r="A64" s="26">
        <v>43889</v>
      </c>
      <c r="B64" s="27">
        <v>162.00999450683594</v>
      </c>
      <c r="C64" s="28">
        <v>7606047</v>
      </c>
      <c r="D64" s="27">
        <v>270.07000732421875</v>
      </c>
      <c r="E64" s="28">
        <v>612000</v>
      </c>
      <c r="F64" s="27">
        <v>1339.3299560546875</v>
      </c>
      <c r="G64" s="28">
        <v>340980</v>
      </c>
      <c r="H64" s="27">
        <v>667.989990234375</v>
      </c>
      <c r="I64" s="28">
        <v>184110</v>
      </c>
      <c r="J64" s="29">
        <f t="shared" si="0"/>
        <v>1977206842.688736</v>
      </c>
      <c r="K64" s="30">
        <f t="shared" si="1"/>
        <v>359.75632871159246</v>
      </c>
      <c r="L64" s="35">
        <f t="shared" si="4"/>
        <v>-3.376952417610668E-2</v>
      </c>
      <c r="M64" s="35">
        <f t="shared" si="5"/>
        <v>-3.376952417610668E-2</v>
      </c>
      <c r="O64" s="29">
        <f t="shared" si="6"/>
        <v>359.75632870986561</v>
      </c>
      <c r="P64" s="52">
        <f t="shared" si="7"/>
        <v>372.3297264072587</v>
      </c>
      <c r="Q64" s="35">
        <f t="shared" si="2"/>
        <v>-3.376952417610668E-2</v>
      </c>
      <c r="R64" s="84"/>
      <c r="S64" s="82">
        <v>-8.4099999999999994E-2</v>
      </c>
      <c r="T64" s="34">
        <f t="shared" si="8"/>
        <v>-3.376952417610668E-2</v>
      </c>
      <c r="U64" s="34">
        <f t="shared" si="9"/>
        <v>5.0330475823893314E-2</v>
      </c>
      <c r="W64" s="35">
        <f t="shared" si="3"/>
        <v>-8.4099999999999994E-2</v>
      </c>
      <c r="X64" s="34">
        <f t="shared" si="3"/>
        <v>-3.376952417610668E-2</v>
      </c>
      <c r="Y64" s="35">
        <f t="shared" si="10"/>
        <v>-8.6285505573756346E-2</v>
      </c>
      <c r="Z64" s="34">
        <f t="shared" si="11"/>
        <v>5.2515981397649666E-2</v>
      </c>
    </row>
    <row r="65" spans="1:26" x14ac:dyDescent="0.2">
      <c r="A65" s="26">
        <v>43921</v>
      </c>
      <c r="B65" s="27">
        <v>157.71000671386719</v>
      </c>
      <c r="C65" s="28">
        <v>7590000</v>
      </c>
      <c r="D65" s="27">
        <v>263.60000610351562</v>
      </c>
      <c r="E65" s="28">
        <v>615108</v>
      </c>
      <c r="F65" s="27">
        <v>1162.81005859375</v>
      </c>
      <c r="G65" s="28">
        <v>337518</v>
      </c>
      <c r="H65" s="27">
        <v>524</v>
      </c>
      <c r="I65" s="28">
        <v>185000</v>
      </c>
      <c r="J65" s="29">
        <f t="shared" si="0"/>
        <v>1848570748.8690186</v>
      </c>
      <c r="K65" s="30">
        <f t="shared" si="1"/>
        <v>336.35076089075176</v>
      </c>
      <c r="L65" s="35">
        <f t="shared" si="4"/>
        <v>-6.5059502649095435E-2</v>
      </c>
      <c r="M65" s="35">
        <f t="shared" si="5"/>
        <v>-6.5059502649095435E-2</v>
      </c>
      <c r="O65" s="29">
        <f t="shared" si="6"/>
        <v>336.35076088913729</v>
      </c>
      <c r="P65" s="52">
        <f t="shared" si="7"/>
        <v>372.3297264072587</v>
      </c>
      <c r="Q65" s="35">
        <f t="shared" si="2"/>
        <v>-9.6631998377607942E-2</v>
      </c>
      <c r="R65" s="84"/>
      <c r="S65" s="82">
        <v>-0.12509999999999999</v>
      </c>
      <c r="T65" s="34">
        <f t="shared" si="8"/>
        <v>-6.5059502649095435E-2</v>
      </c>
      <c r="U65" s="34">
        <f t="shared" si="9"/>
        <v>6.0040497350904554E-2</v>
      </c>
      <c r="W65" s="35">
        <f t="shared" si="3"/>
        <v>-0.12509999999999999</v>
      </c>
      <c r="X65" s="34">
        <f t="shared" si="3"/>
        <v>-6.5059502649095435E-2</v>
      </c>
      <c r="Y65" s="35">
        <f t="shared" si="10"/>
        <v>-0.13508882300762021</v>
      </c>
      <c r="Z65" s="34">
        <f t="shared" si="11"/>
        <v>7.0029320358524771E-2</v>
      </c>
    </row>
    <row r="66" spans="1:26" x14ac:dyDescent="0.2">
      <c r="A66" s="26">
        <v>43951</v>
      </c>
      <c r="B66" s="27">
        <v>179.21000671386719</v>
      </c>
      <c r="C66" s="28">
        <v>7583440</v>
      </c>
      <c r="D66" s="27">
        <v>292.27999877929688</v>
      </c>
      <c r="E66" s="28">
        <v>615000</v>
      </c>
      <c r="F66" s="27">
        <v>1348.6600341796875</v>
      </c>
      <c r="G66" s="28">
        <v>336162</v>
      </c>
      <c r="H66" s="27">
        <v>781.8800048828125</v>
      </c>
      <c r="I66" s="28">
        <v>185371</v>
      </c>
      <c r="J66" s="29">
        <f t="shared" si="0"/>
        <v>2137086665.3585205</v>
      </c>
      <c r="K66" s="30">
        <f t="shared" si="1"/>
        <v>388.84674899383549</v>
      </c>
      <c r="L66" s="35">
        <f t="shared" si="4"/>
        <v>0.1560751281312982</v>
      </c>
      <c r="M66" s="35" t="str">
        <f t="shared" si="5"/>
        <v/>
      </c>
      <c r="O66" s="29">
        <f t="shared" si="6"/>
        <v>388.84674899196904</v>
      </c>
      <c r="P66" s="52">
        <f t="shared" si="7"/>
        <v>388.84674899196904</v>
      </c>
      <c r="Q66" s="35">
        <f t="shared" si="2"/>
        <v>0</v>
      </c>
      <c r="R66" s="84"/>
      <c r="S66" s="82">
        <v>0.1268</v>
      </c>
      <c r="T66" s="34">
        <f t="shared" si="8"/>
        <v>0.1560751281312982</v>
      </c>
      <c r="U66" s="34">
        <f t="shared" si="9"/>
        <v>2.9275128131298206E-2</v>
      </c>
      <c r="W66" s="35">
        <f t="shared" si="3"/>
        <v>0.1268</v>
      </c>
      <c r="X66" s="34">
        <f t="shared" si="3"/>
        <v>0.1560751281312982</v>
      </c>
      <c r="Y66" s="35">
        <f t="shared" si="10"/>
        <v>0.16475399800677762</v>
      </c>
      <c r="Z66" s="34">
        <f t="shared" si="11"/>
        <v>-8.6788698754794169E-3</v>
      </c>
    </row>
    <row r="67" spans="1:26" x14ac:dyDescent="0.2">
      <c r="A67" s="26">
        <v>43980</v>
      </c>
      <c r="B67" s="27">
        <v>183.25</v>
      </c>
      <c r="C67" s="28">
        <v>7583440</v>
      </c>
      <c r="D67" s="27">
        <v>355.01998901367188</v>
      </c>
      <c r="E67" s="28">
        <v>615000</v>
      </c>
      <c r="F67" s="27">
        <v>1428.9200439453125</v>
      </c>
      <c r="G67" s="28">
        <v>336162</v>
      </c>
      <c r="H67" s="27">
        <v>835</v>
      </c>
      <c r="I67" s="28">
        <v>185371</v>
      </c>
      <c r="J67" s="29">
        <f t="shared" si="0"/>
        <v>2243136078.0561523</v>
      </c>
      <c r="K67" s="30">
        <f t="shared" si="1"/>
        <v>408.14262970312893</v>
      </c>
      <c r="L67" s="35">
        <f t="shared" si="4"/>
        <v>4.9623356140234387E-2</v>
      </c>
      <c r="M67" s="35" t="str">
        <f t="shared" si="5"/>
        <v/>
      </c>
      <c r="O67" s="29">
        <f t="shared" si="6"/>
        <v>408.14262970116982</v>
      </c>
      <c r="P67" s="52">
        <f t="shared" si="7"/>
        <v>408.14262970116982</v>
      </c>
      <c r="Q67" s="35">
        <f t="shared" si="2"/>
        <v>0</v>
      </c>
      <c r="R67" s="84"/>
      <c r="S67" s="82">
        <v>4.53E-2</v>
      </c>
      <c r="T67" s="34">
        <f t="shared" si="8"/>
        <v>4.9623356140234387E-2</v>
      </c>
      <c r="U67" s="34">
        <f t="shared" si="9"/>
        <v>4.323356140234387E-3</v>
      </c>
      <c r="W67" s="35">
        <f t="shared" si="3"/>
        <v>4.53E-2</v>
      </c>
      <c r="X67" s="34">
        <f t="shared" si="3"/>
        <v>4.9623356140234387E-2</v>
      </c>
      <c r="Y67" s="35">
        <f t="shared" si="10"/>
        <v>6.7742525546779897E-2</v>
      </c>
      <c r="Z67" s="34">
        <f t="shared" si="11"/>
        <v>-1.811916940654551E-2</v>
      </c>
    </row>
    <row r="68" spans="1:26" x14ac:dyDescent="0.2">
      <c r="A68" s="26">
        <v>44012</v>
      </c>
      <c r="B68" s="27">
        <v>203.50999450683594</v>
      </c>
      <c r="C68" s="28">
        <v>7571000</v>
      </c>
      <c r="D68" s="27">
        <v>379.91000366210938</v>
      </c>
      <c r="E68" s="28">
        <v>615000</v>
      </c>
      <c r="F68" s="27">
        <v>1413.6099853515625</v>
      </c>
      <c r="G68" s="28">
        <v>334692</v>
      </c>
      <c r="H68" s="27">
        <v>1079.81005859375</v>
      </c>
      <c r="I68" s="28">
        <v>186000</v>
      </c>
      <c r="J68" s="29">
        <f t="shared" ref="J68:J122" si="12">(B68*C68)+(D68*E68)+(F68*G68)+(H68*I68)</f>
        <v>2448387444.7791748</v>
      </c>
      <c r="K68" s="30">
        <f t="shared" ref="K68:K122" si="13">J68/5495961.2518</f>
        <v>445.48848374382112</v>
      </c>
      <c r="L68" s="35">
        <f t="shared" si="4"/>
        <v>9.1501968485518059E-2</v>
      </c>
      <c r="M68" s="35" t="str">
        <f t="shared" si="5"/>
        <v/>
      </c>
      <c r="O68" s="29">
        <f t="shared" si="6"/>
        <v>445.48848374168273</v>
      </c>
      <c r="P68" s="52">
        <f t="shared" si="7"/>
        <v>445.48848374168273</v>
      </c>
      <c r="Q68" s="35">
        <f t="shared" ref="Q68:Q122" si="14">(O68/P68)-1</f>
        <v>0</v>
      </c>
      <c r="R68" s="84"/>
      <c r="S68" s="82">
        <v>1.84E-2</v>
      </c>
      <c r="T68" s="34">
        <f t="shared" si="8"/>
        <v>9.1501968485518059E-2</v>
      </c>
      <c r="U68" s="34">
        <f t="shared" si="9"/>
        <v>7.310196848551806E-2</v>
      </c>
      <c r="W68" s="35">
        <f t="shared" ref="W68:X122" si="15">S68</f>
        <v>1.84E-2</v>
      </c>
      <c r="X68" s="34">
        <f t="shared" si="15"/>
        <v>9.1501968485518059E-2</v>
      </c>
      <c r="Y68" s="35">
        <f t="shared" si="10"/>
        <v>3.5722788010903353E-2</v>
      </c>
      <c r="Z68" s="34">
        <f t="shared" si="11"/>
        <v>5.5779180474614706E-2</v>
      </c>
    </row>
    <row r="69" spans="1:26" x14ac:dyDescent="0.2">
      <c r="A69" s="26">
        <v>44043</v>
      </c>
      <c r="B69" s="27">
        <v>205.00999450683594</v>
      </c>
      <c r="C69" s="28">
        <v>7567653</v>
      </c>
      <c r="D69" s="27">
        <v>424.58999633789062</v>
      </c>
      <c r="E69" s="28">
        <v>617000</v>
      </c>
      <c r="F69" s="27">
        <v>1482.9599609375</v>
      </c>
      <c r="G69" s="28">
        <v>333631</v>
      </c>
      <c r="H69" s="27">
        <v>1430.760009765625</v>
      </c>
      <c r="I69" s="28">
        <v>186362</v>
      </c>
      <c r="J69" s="29">
        <f t="shared" si="12"/>
        <v>2574817239.3675995</v>
      </c>
      <c r="K69" s="30">
        <f t="shared" si="13"/>
        <v>468.49261146524879</v>
      </c>
      <c r="L69" s="35">
        <f t="shared" ref="L69:L122" si="16">(K69/K68)-1</f>
        <v>5.163798518000795E-2</v>
      </c>
      <c r="M69" s="35" t="str">
        <f t="shared" ref="M69:M122" si="17">IF(L69&lt;0,L69,"")</f>
        <v/>
      </c>
      <c r="O69" s="29">
        <f t="shared" ref="O69:O122" si="18">O68*(1+L69)</f>
        <v>468.49261146299995</v>
      </c>
      <c r="P69" s="52">
        <f t="shared" ref="P69:P122" si="19">IF(O69&gt;P68,O69,P68)</f>
        <v>468.49261146299995</v>
      </c>
      <c r="Q69" s="35">
        <f t="shared" si="14"/>
        <v>0</v>
      </c>
      <c r="R69" s="84"/>
      <c r="S69" s="82">
        <v>5.5100000000000003E-2</v>
      </c>
      <c r="T69" s="34">
        <f t="shared" ref="T69:T122" si="20">L69</f>
        <v>5.163798518000795E-2</v>
      </c>
      <c r="U69" s="34">
        <f t="shared" ref="U69:U122" si="21">T69-S69</f>
        <v>-3.4620148199920528E-3</v>
      </c>
      <c r="W69" s="35">
        <f t="shared" si="15"/>
        <v>5.5100000000000003E-2</v>
      </c>
      <c r="X69" s="34">
        <f t="shared" si="15"/>
        <v>5.163798518000795E-2</v>
      </c>
      <c r="Y69" s="35">
        <f t="shared" ref="Y69:Y122" si="22">($AA$3*W69)+$AB$3</f>
        <v>7.9407708738288826E-2</v>
      </c>
      <c r="Z69" s="34">
        <f t="shared" ref="Z69:Z122" si="23">X69-Y69</f>
        <v>-2.7769723558280876E-2</v>
      </c>
    </row>
    <row r="70" spans="1:26" x14ac:dyDescent="0.2">
      <c r="A70" s="26">
        <v>44074</v>
      </c>
      <c r="B70" s="27">
        <v>225.52999877929688</v>
      </c>
      <c r="C70" s="28">
        <v>7567653</v>
      </c>
      <c r="D70" s="27">
        <v>534.97998046875</v>
      </c>
      <c r="E70" s="28">
        <v>617000</v>
      </c>
      <c r="F70" s="27">
        <v>1634.1800537109375</v>
      </c>
      <c r="G70" s="28">
        <v>333631</v>
      </c>
      <c r="H70" s="27">
        <v>498.32000732421875</v>
      </c>
      <c r="I70" s="28">
        <v>931809</v>
      </c>
      <c r="J70" s="29">
        <f t="shared" si="12"/>
        <v>3046367613.0057678</v>
      </c>
      <c r="K70" s="30">
        <f t="shared" si="13"/>
        <v>554.29204709331646</v>
      </c>
      <c r="L70" s="35">
        <f t="shared" si="16"/>
        <v>0.1831393570108244</v>
      </c>
      <c r="M70" s="35" t="str">
        <f t="shared" si="17"/>
        <v/>
      </c>
      <c r="O70" s="29">
        <f t="shared" si="18"/>
        <v>554.29204709065573</v>
      </c>
      <c r="P70" s="52">
        <f t="shared" si="19"/>
        <v>554.29204709065573</v>
      </c>
      <c r="Q70" s="35">
        <f t="shared" si="14"/>
        <v>0</v>
      </c>
      <c r="R70" s="84"/>
      <c r="S70" s="82">
        <v>7.0099999999999996E-2</v>
      </c>
      <c r="T70" s="34">
        <f t="shared" si="20"/>
        <v>0.1831393570108244</v>
      </c>
      <c r="U70" s="34">
        <f t="shared" si="21"/>
        <v>0.1130393570108244</v>
      </c>
      <c r="W70" s="35">
        <f t="shared" si="15"/>
        <v>7.0099999999999996E-2</v>
      </c>
      <c r="X70" s="34">
        <f t="shared" si="15"/>
        <v>0.1831393570108244</v>
      </c>
      <c r="Y70" s="35">
        <f t="shared" si="22"/>
        <v>9.7262580970190249E-2</v>
      </c>
      <c r="Z70" s="34">
        <f t="shared" si="23"/>
        <v>8.5876776040634151E-2</v>
      </c>
    </row>
    <row r="71" spans="1:26" x14ac:dyDescent="0.2">
      <c r="A71" s="26">
        <v>44104</v>
      </c>
      <c r="B71" s="27">
        <v>210.33000183105469</v>
      </c>
      <c r="C71" s="28">
        <v>7564000</v>
      </c>
      <c r="D71" s="27">
        <v>541.219970703125</v>
      </c>
      <c r="E71" s="28">
        <v>617000</v>
      </c>
      <c r="F71" s="27">
        <v>1469.5999755859375</v>
      </c>
      <c r="G71" s="28">
        <v>331168</v>
      </c>
      <c r="H71" s="27">
        <v>429.010009765625</v>
      </c>
      <c r="I71" s="28">
        <v>948000</v>
      </c>
      <c r="J71" s="29">
        <f t="shared" si="12"/>
        <v>2818254829.746582</v>
      </c>
      <c r="K71" s="30">
        <f t="shared" si="13"/>
        <v>512.78651734008611</v>
      </c>
      <c r="L71" s="35">
        <f t="shared" si="16"/>
        <v>-7.4880254860021145E-2</v>
      </c>
      <c r="M71" s="35">
        <f t="shared" si="17"/>
        <v>-7.4880254860021145E-2</v>
      </c>
      <c r="O71" s="29">
        <f t="shared" si="18"/>
        <v>512.78651733762456</v>
      </c>
      <c r="P71" s="52">
        <f t="shared" si="19"/>
        <v>554.29204709065573</v>
      </c>
      <c r="Q71" s="35">
        <f t="shared" si="14"/>
        <v>-7.4880254860021145E-2</v>
      </c>
      <c r="R71" s="84"/>
      <c r="S71" s="82">
        <v>-3.9199999999999999E-2</v>
      </c>
      <c r="T71" s="34">
        <f t="shared" si="20"/>
        <v>-7.4880254860021145E-2</v>
      </c>
      <c r="U71" s="34">
        <f t="shared" si="21"/>
        <v>-3.5680254860021146E-2</v>
      </c>
      <c r="W71" s="35">
        <f t="shared" si="15"/>
        <v>-3.9199999999999999E-2</v>
      </c>
      <c r="X71" s="34">
        <f t="shared" si="15"/>
        <v>-7.4880254860021145E-2</v>
      </c>
      <c r="Y71" s="35">
        <f t="shared" si="22"/>
        <v>-3.2839921359598095E-2</v>
      </c>
      <c r="Z71" s="34">
        <f t="shared" si="23"/>
        <v>-4.2040333500423049E-2</v>
      </c>
    </row>
    <row r="72" spans="1:26" x14ac:dyDescent="0.2">
      <c r="A72" s="26">
        <v>44134</v>
      </c>
      <c r="B72" s="27">
        <v>202.47000122070312</v>
      </c>
      <c r="C72" s="28">
        <v>7560496</v>
      </c>
      <c r="D72" s="27">
        <v>501.3599853515625</v>
      </c>
      <c r="E72" s="28">
        <v>619000</v>
      </c>
      <c r="F72" s="27">
        <v>1621.010009765625</v>
      </c>
      <c r="G72" s="28">
        <v>329867</v>
      </c>
      <c r="H72" s="27">
        <v>388.04000854492188</v>
      </c>
      <c r="I72" s="28">
        <v>947901</v>
      </c>
      <c r="J72" s="29">
        <f t="shared" si="12"/>
        <v>2743656686.3128357</v>
      </c>
      <c r="K72" s="30">
        <f t="shared" si="13"/>
        <v>499.21325144245731</v>
      </c>
      <c r="L72" s="35">
        <f t="shared" si="16"/>
        <v>-2.6469623203113302E-2</v>
      </c>
      <c r="M72" s="35">
        <f t="shared" si="17"/>
        <v>-2.6469623203113302E-2</v>
      </c>
      <c r="O72" s="29">
        <f t="shared" si="18"/>
        <v>499.2132514400609</v>
      </c>
      <c r="P72" s="52">
        <f t="shared" si="19"/>
        <v>554.29204709065573</v>
      </c>
      <c r="Q72" s="35">
        <f t="shared" si="14"/>
        <v>-9.9367825931636622E-2</v>
      </c>
      <c r="R72" s="84"/>
      <c r="S72" s="82">
        <v>-2.7699999999999999E-2</v>
      </c>
      <c r="T72" s="34">
        <f t="shared" si="20"/>
        <v>-2.6469623203113302E-2</v>
      </c>
      <c r="U72" s="34">
        <f t="shared" si="21"/>
        <v>1.2303767968866973E-3</v>
      </c>
      <c r="W72" s="35">
        <f t="shared" si="15"/>
        <v>-2.7699999999999999E-2</v>
      </c>
      <c r="X72" s="34">
        <f t="shared" si="15"/>
        <v>-2.6469623203113302E-2</v>
      </c>
      <c r="Y72" s="35">
        <f t="shared" si="22"/>
        <v>-1.9151185981807005E-2</v>
      </c>
      <c r="Z72" s="34">
        <f t="shared" si="23"/>
        <v>-7.3184372213062968E-3</v>
      </c>
    </row>
    <row r="73" spans="1:26" x14ac:dyDescent="0.2">
      <c r="A73" s="26">
        <v>44165</v>
      </c>
      <c r="B73" s="27">
        <v>214.07000732421875</v>
      </c>
      <c r="C73" s="28">
        <v>7560496</v>
      </c>
      <c r="D73" s="27">
        <v>536.05999755859375</v>
      </c>
      <c r="E73" s="28">
        <v>619000</v>
      </c>
      <c r="F73" s="27">
        <v>1760.739990234375</v>
      </c>
      <c r="G73" s="28">
        <v>329867</v>
      </c>
      <c r="H73" s="27">
        <v>567.5999755859375</v>
      </c>
      <c r="I73" s="28">
        <v>947901</v>
      </c>
      <c r="J73" s="29">
        <f t="shared" si="12"/>
        <v>3069135175.4000244</v>
      </c>
      <c r="K73" s="30">
        <f t="shared" si="13"/>
        <v>558.43464587652295</v>
      </c>
      <c r="L73" s="35">
        <f t="shared" si="16"/>
        <v>0.118629451968568</v>
      </c>
      <c r="M73" s="35" t="str">
        <f t="shared" si="17"/>
        <v/>
      </c>
      <c r="O73" s="29">
        <f t="shared" si="18"/>
        <v>558.43464587384221</v>
      </c>
      <c r="P73" s="52">
        <f t="shared" si="19"/>
        <v>558.43464587384221</v>
      </c>
      <c r="Q73" s="35">
        <f t="shared" si="14"/>
        <v>0</v>
      </c>
      <c r="R73" s="84"/>
      <c r="S73" s="82">
        <v>0.1075</v>
      </c>
      <c r="T73" s="34">
        <f t="shared" si="20"/>
        <v>0.118629451968568</v>
      </c>
      <c r="U73" s="34">
        <f t="shared" si="21"/>
        <v>1.1129451968568002E-2</v>
      </c>
      <c r="W73" s="35">
        <f t="shared" si="15"/>
        <v>0.1075</v>
      </c>
      <c r="X73" s="34">
        <f t="shared" si="15"/>
        <v>0.118629451968568</v>
      </c>
      <c r="Y73" s="35">
        <f t="shared" si="22"/>
        <v>0.14178072906839781</v>
      </c>
      <c r="Z73" s="34">
        <f t="shared" si="23"/>
        <v>-2.3151277099829809E-2</v>
      </c>
    </row>
    <row r="74" spans="1:26" x14ac:dyDescent="0.2">
      <c r="A74" s="26">
        <v>44196</v>
      </c>
      <c r="B74" s="27">
        <v>222.41999816894531</v>
      </c>
      <c r="C74" s="28">
        <v>7546000</v>
      </c>
      <c r="D74" s="27">
        <v>522.20001220703125</v>
      </c>
      <c r="E74" s="28">
        <v>619000</v>
      </c>
      <c r="F74" s="27">
        <v>1751.8800048828125</v>
      </c>
      <c r="G74" s="28">
        <v>328649</v>
      </c>
      <c r="H74" s="27">
        <v>705.66998291015625</v>
      </c>
      <c r="I74" s="28">
        <v>959854</v>
      </c>
      <c r="J74" s="29">
        <f t="shared" si="12"/>
        <v>3254716881.2399902</v>
      </c>
      <c r="K74" s="30">
        <f t="shared" si="13"/>
        <v>592.2015698662409</v>
      </c>
      <c r="L74" s="35">
        <f t="shared" si="16"/>
        <v>6.0467100741425472E-2</v>
      </c>
      <c r="M74" s="35" t="str">
        <f t="shared" si="17"/>
        <v/>
      </c>
      <c r="O74" s="29">
        <f t="shared" si="18"/>
        <v>592.20156986339805</v>
      </c>
      <c r="P74" s="52">
        <f t="shared" si="19"/>
        <v>592.20156986339805</v>
      </c>
      <c r="Q74" s="35">
        <f t="shared" si="14"/>
        <v>0</v>
      </c>
      <c r="R74" s="84"/>
      <c r="S74" s="82">
        <v>3.7100000000000001E-2</v>
      </c>
      <c r="T74" s="34">
        <f t="shared" si="20"/>
        <v>6.0467100741425472E-2</v>
      </c>
      <c r="U74" s="34">
        <f t="shared" si="21"/>
        <v>2.3367100741425471E-2</v>
      </c>
      <c r="W74" s="35">
        <f t="shared" si="15"/>
        <v>3.7100000000000001E-2</v>
      </c>
      <c r="X74" s="34">
        <f t="shared" si="15"/>
        <v>6.0467100741425472E-2</v>
      </c>
      <c r="Y74" s="35">
        <f t="shared" si="22"/>
        <v>5.7981862060007133E-2</v>
      </c>
      <c r="Z74" s="34">
        <f t="shared" si="23"/>
        <v>2.4852386814183391E-3</v>
      </c>
    </row>
    <row r="75" spans="1:26" x14ac:dyDescent="0.2">
      <c r="A75" s="26">
        <v>44225</v>
      </c>
      <c r="B75" s="27">
        <v>231.96000671386719</v>
      </c>
      <c r="C75" s="28">
        <v>7542216</v>
      </c>
      <c r="D75" s="27">
        <v>519.59002685546875</v>
      </c>
      <c r="E75" s="28">
        <v>620000</v>
      </c>
      <c r="F75" s="27">
        <v>1835.739990234375</v>
      </c>
      <c r="G75" s="28">
        <v>327556</v>
      </c>
      <c r="H75" s="27">
        <v>793.530029296875</v>
      </c>
      <c r="I75" s="28">
        <v>959854</v>
      </c>
      <c r="J75" s="29">
        <f t="shared" si="12"/>
        <v>3434618911.6297607</v>
      </c>
      <c r="K75" s="30">
        <f t="shared" si="13"/>
        <v>624.93506672829574</v>
      </c>
      <c r="L75" s="35">
        <f t="shared" si="16"/>
        <v>5.5274248714754837E-2</v>
      </c>
      <c r="M75" s="35" t="str">
        <f t="shared" si="17"/>
        <v/>
      </c>
      <c r="O75" s="29">
        <f t="shared" si="18"/>
        <v>624.93506672529577</v>
      </c>
      <c r="P75" s="52">
        <f t="shared" si="19"/>
        <v>624.93506672529577</v>
      </c>
      <c r="Q75" s="35">
        <f t="shared" si="14"/>
        <v>0</v>
      </c>
      <c r="R75" s="84"/>
      <c r="S75" s="82">
        <v>-1.11E-2</v>
      </c>
      <c r="T75" s="34">
        <f t="shared" si="20"/>
        <v>5.5274248714754837E-2</v>
      </c>
      <c r="U75" s="34">
        <f t="shared" si="21"/>
        <v>6.6374248714754835E-2</v>
      </c>
      <c r="W75" s="35">
        <f t="shared" si="15"/>
        <v>-1.11E-2</v>
      </c>
      <c r="X75" s="34">
        <f t="shared" si="15"/>
        <v>5.5274248714754837E-2</v>
      </c>
      <c r="Y75" s="35">
        <f t="shared" si="22"/>
        <v>6.0820595483056066E-4</v>
      </c>
      <c r="Z75" s="34">
        <f t="shared" si="23"/>
        <v>5.4666042759924274E-2</v>
      </c>
    </row>
    <row r="76" spans="1:26" x14ac:dyDescent="0.2">
      <c r="A76" s="26">
        <v>44253</v>
      </c>
      <c r="B76" s="27">
        <v>232.3800048828125</v>
      </c>
      <c r="C76" s="28">
        <v>7542216</v>
      </c>
      <c r="D76" s="27">
        <v>548.58001708984375</v>
      </c>
      <c r="E76" s="28">
        <v>620000</v>
      </c>
      <c r="F76" s="27">
        <v>2036.8599853515625</v>
      </c>
      <c r="G76" s="28">
        <v>327556</v>
      </c>
      <c r="H76" s="27">
        <v>675.5</v>
      </c>
      <c r="I76" s="28">
        <v>959854</v>
      </c>
      <c r="J76" s="29">
        <f t="shared" si="12"/>
        <v>3408346887.8647461</v>
      </c>
      <c r="K76" s="30">
        <f t="shared" si="13"/>
        <v>620.15482491774617</v>
      </c>
      <c r="L76" s="35">
        <f t="shared" si="16"/>
        <v>-7.6491815950981978E-3</v>
      </c>
      <c r="M76" s="35">
        <f t="shared" si="17"/>
        <v>-7.6491815950981978E-3</v>
      </c>
      <c r="O76" s="29">
        <f t="shared" si="18"/>
        <v>620.15482491476916</v>
      </c>
      <c r="P76" s="52">
        <f t="shared" si="19"/>
        <v>624.93506672529577</v>
      </c>
      <c r="Q76" s="35">
        <f t="shared" si="14"/>
        <v>-7.6491815950981978E-3</v>
      </c>
      <c r="R76" s="84"/>
      <c r="S76" s="82">
        <v>2.6100000000000002E-2</v>
      </c>
      <c r="T76" s="34">
        <f t="shared" si="20"/>
        <v>-7.6491815950981978E-3</v>
      </c>
      <c r="U76" s="34">
        <f t="shared" si="21"/>
        <v>-3.3749181595098196E-2</v>
      </c>
      <c r="W76" s="35">
        <f t="shared" si="15"/>
        <v>2.6100000000000002E-2</v>
      </c>
      <c r="X76" s="34">
        <f t="shared" si="15"/>
        <v>-7.6491815950981978E-3</v>
      </c>
      <c r="Y76" s="35">
        <f t="shared" si="22"/>
        <v>4.488828908994609E-2</v>
      </c>
      <c r="Z76" s="34">
        <f t="shared" si="23"/>
        <v>-5.2537470685044288E-2</v>
      </c>
    </row>
    <row r="77" spans="1:26" x14ac:dyDescent="0.2">
      <c r="A77" s="26">
        <v>44286</v>
      </c>
      <c r="B77" s="27">
        <v>235.77000427246094</v>
      </c>
      <c r="C77" s="28">
        <v>7534000</v>
      </c>
      <c r="D77" s="27">
        <v>533.92999267578125</v>
      </c>
      <c r="E77" s="28">
        <v>622345</v>
      </c>
      <c r="F77" s="27">
        <v>2068.6298828125</v>
      </c>
      <c r="G77" s="28">
        <v>324511</v>
      </c>
      <c r="H77" s="27">
        <v>667.92999267578125</v>
      </c>
      <c r="I77" s="28">
        <v>963000</v>
      </c>
      <c r="J77" s="29">
        <f t="shared" si="12"/>
        <v>3423089608.3286743</v>
      </c>
      <c r="K77" s="30">
        <f t="shared" si="13"/>
        <v>622.83728932906274</v>
      </c>
      <c r="L77" s="35">
        <f t="shared" si="16"/>
        <v>4.325475354759023E-3</v>
      </c>
      <c r="M77" s="35" t="str">
        <f t="shared" si="17"/>
        <v/>
      </c>
      <c r="O77" s="29">
        <f t="shared" si="18"/>
        <v>622.83728932607289</v>
      </c>
      <c r="P77" s="52">
        <f t="shared" si="19"/>
        <v>624.93506672529577</v>
      </c>
      <c r="Q77" s="35">
        <f t="shared" si="14"/>
        <v>-3.3567925868128734E-3</v>
      </c>
      <c r="R77" s="84"/>
      <c r="S77" s="82">
        <v>4.24E-2</v>
      </c>
      <c r="T77" s="34">
        <f t="shared" si="20"/>
        <v>4.325475354759023E-3</v>
      </c>
      <c r="U77" s="34">
        <f t="shared" si="21"/>
        <v>-3.8074524645240977E-2</v>
      </c>
      <c r="W77" s="35">
        <f t="shared" si="15"/>
        <v>4.24E-2</v>
      </c>
      <c r="X77" s="34">
        <f t="shared" si="15"/>
        <v>4.325475354759023E-3</v>
      </c>
      <c r="Y77" s="35">
        <f t="shared" si="22"/>
        <v>6.4290583581945629E-2</v>
      </c>
      <c r="Z77" s="34">
        <f t="shared" si="23"/>
        <v>-5.9965108227186606E-2</v>
      </c>
    </row>
    <row r="78" spans="1:26" x14ac:dyDescent="0.2">
      <c r="A78" s="26">
        <v>44316</v>
      </c>
      <c r="B78" s="27">
        <v>252.17999267578125</v>
      </c>
      <c r="C78" s="28">
        <v>7531575</v>
      </c>
      <c r="D78" s="27">
        <v>600.3800048828125</v>
      </c>
      <c r="E78" s="28">
        <v>623000</v>
      </c>
      <c r="F78" s="27">
        <v>2410.1201171875</v>
      </c>
      <c r="G78" s="28">
        <v>323580</v>
      </c>
      <c r="H78" s="27">
        <v>709.44000244140625</v>
      </c>
      <c r="I78" s="28">
        <v>963330</v>
      </c>
      <c r="J78" s="29">
        <f t="shared" si="12"/>
        <v>3736640776.4505005</v>
      </c>
      <c r="K78" s="30">
        <f t="shared" si="13"/>
        <v>679.88848633652606</v>
      </c>
      <c r="L78" s="35">
        <f t="shared" si="16"/>
        <v>9.1598878206088807E-2</v>
      </c>
      <c r="M78" s="35" t="str">
        <f t="shared" si="17"/>
        <v/>
      </c>
      <c r="O78" s="29">
        <f t="shared" si="18"/>
        <v>679.88848633326234</v>
      </c>
      <c r="P78" s="52">
        <f t="shared" si="19"/>
        <v>679.88848633326234</v>
      </c>
      <c r="Q78" s="35">
        <f t="shared" si="14"/>
        <v>0</v>
      </c>
      <c r="R78" s="84"/>
      <c r="S78" s="82">
        <v>5.2400000000000002E-2</v>
      </c>
      <c r="T78" s="34">
        <f t="shared" si="20"/>
        <v>9.1598878206088807E-2</v>
      </c>
      <c r="U78" s="34">
        <f t="shared" si="21"/>
        <v>3.9198878206088805E-2</v>
      </c>
      <c r="W78" s="35">
        <f t="shared" si="15"/>
        <v>5.2400000000000002E-2</v>
      </c>
      <c r="X78" s="34">
        <f t="shared" si="15"/>
        <v>9.1598878206088807E-2</v>
      </c>
      <c r="Y78" s="35">
        <f t="shared" si="22"/>
        <v>7.6193831736546577E-2</v>
      </c>
      <c r="Z78" s="34">
        <f t="shared" si="23"/>
        <v>1.540504646954223E-2</v>
      </c>
    </row>
    <row r="79" spans="1:26" x14ac:dyDescent="0.2">
      <c r="A79" s="26">
        <v>44344</v>
      </c>
      <c r="B79" s="27">
        <v>249.67999267578125</v>
      </c>
      <c r="C79" s="28">
        <v>7531575</v>
      </c>
      <c r="D79" s="27">
        <v>649.780029296875</v>
      </c>
      <c r="E79" s="28">
        <v>623000</v>
      </c>
      <c r="F79" s="27">
        <v>2411.56005859375</v>
      </c>
      <c r="G79" s="28">
        <v>323580</v>
      </c>
      <c r="H79" s="27">
        <v>625.219970703125</v>
      </c>
      <c r="I79" s="28">
        <v>963330</v>
      </c>
      <c r="J79" s="29">
        <f t="shared" si="12"/>
        <v>3667922307.2262573</v>
      </c>
      <c r="K79" s="30">
        <f t="shared" si="13"/>
        <v>667.38503769926774</v>
      </c>
      <c r="L79" s="35">
        <f t="shared" si="16"/>
        <v>-1.8390440327400226E-2</v>
      </c>
      <c r="M79" s="35">
        <f t="shared" si="17"/>
        <v>-1.8390440327400226E-2</v>
      </c>
      <c r="O79" s="29">
        <f t="shared" si="18"/>
        <v>667.38503769606405</v>
      </c>
      <c r="P79" s="52">
        <f t="shared" si="19"/>
        <v>679.88848633326234</v>
      </c>
      <c r="Q79" s="35">
        <f t="shared" si="14"/>
        <v>-1.8390440327400226E-2</v>
      </c>
      <c r="R79" s="84"/>
      <c r="S79" s="82">
        <v>5.4999999999999997E-3</v>
      </c>
      <c r="T79" s="34">
        <f t="shared" si="20"/>
        <v>-1.8390440327400226E-2</v>
      </c>
      <c r="U79" s="34">
        <f t="shared" si="21"/>
        <v>-2.3890440327400224E-2</v>
      </c>
      <c r="W79" s="35">
        <f t="shared" si="15"/>
        <v>5.4999999999999997E-3</v>
      </c>
      <c r="X79" s="34">
        <f t="shared" si="15"/>
        <v>-1.8390440327400226E-2</v>
      </c>
      <c r="Y79" s="35">
        <f t="shared" si="22"/>
        <v>2.0367597891468133E-2</v>
      </c>
      <c r="Z79" s="34">
        <f t="shared" si="23"/>
        <v>-3.8758038218868363E-2</v>
      </c>
    </row>
    <row r="80" spans="1:26" x14ac:dyDescent="0.2">
      <c r="A80" s="26">
        <v>44377</v>
      </c>
      <c r="B80" s="27">
        <v>270.89999389648438</v>
      </c>
      <c r="C80" s="28">
        <v>7519000</v>
      </c>
      <c r="D80" s="27">
        <v>800.0999755859375</v>
      </c>
      <c r="E80" s="28">
        <v>623000</v>
      </c>
      <c r="F80" s="27">
        <v>2506.320068359375</v>
      </c>
      <c r="G80" s="28">
        <v>321051</v>
      </c>
      <c r="H80" s="27">
        <v>679.70001220703125</v>
      </c>
      <c r="I80" s="28">
        <v>984003</v>
      </c>
      <c r="J80" s="29">
        <f t="shared" si="12"/>
        <v>4008842754.2763062</v>
      </c>
      <c r="K80" s="30">
        <f t="shared" si="13"/>
        <v>729.41612406080139</v>
      </c>
      <c r="L80" s="35">
        <f t="shared" si="16"/>
        <v>9.2946474460048778E-2</v>
      </c>
      <c r="M80" s="35" t="str">
        <f t="shared" si="17"/>
        <v/>
      </c>
      <c r="O80" s="29">
        <f t="shared" si="18"/>
        <v>729.41612405729995</v>
      </c>
      <c r="P80" s="52">
        <f t="shared" si="19"/>
        <v>729.41612405729995</v>
      </c>
      <c r="Q80" s="35">
        <f t="shared" si="14"/>
        <v>0</v>
      </c>
      <c r="R80" s="84"/>
      <c r="S80" s="82">
        <v>2.2200000000000001E-2</v>
      </c>
      <c r="T80" s="34">
        <f t="shared" si="20"/>
        <v>9.2946474460048778E-2</v>
      </c>
      <c r="U80" s="34">
        <f t="shared" si="21"/>
        <v>7.074647446004878E-2</v>
      </c>
      <c r="W80" s="35">
        <f t="shared" si="15"/>
        <v>2.2200000000000001E-2</v>
      </c>
      <c r="X80" s="34">
        <f t="shared" si="15"/>
        <v>9.2946474460048778E-2</v>
      </c>
      <c r="Y80" s="35">
        <f t="shared" si="22"/>
        <v>4.024602230965172E-2</v>
      </c>
      <c r="Z80" s="34">
        <f t="shared" si="23"/>
        <v>5.2700452150397058E-2</v>
      </c>
    </row>
    <row r="81" spans="1:26" x14ac:dyDescent="0.2">
      <c r="A81" s="26">
        <v>44407</v>
      </c>
      <c r="B81" s="27">
        <v>284.91000366210938</v>
      </c>
      <c r="C81" s="28">
        <v>7514891</v>
      </c>
      <c r="D81" s="27">
        <v>194.99000549316406</v>
      </c>
      <c r="E81" s="28">
        <v>2500000</v>
      </c>
      <c r="F81" s="27">
        <v>2704.419921875</v>
      </c>
      <c r="G81" s="28">
        <v>320168</v>
      </c>
      <c r="H81" s="27">
        <v>687.20001220703125</v>
      </c>
      <c r="I81" s="28">
        <v>990015</v>
      </c>
      <c r="J81" s="29">
        <f t="shared" si="12"/>
        <v>4174749673.695282</v>
      </c>
      <c r="K81" s="30">
        <f t="shared" si="13"/>
        <v>759.60318539873197</v>
      </c>
      <c r="L81" s="35">
        <f t="shared" si="16"/>
        <v>4.1385239977796751E-2</v>
      </c>
      <c r="M81" s="35" t="str">
        <f t="shared" si="17"/>
        <v/>
      </c>
      <c r="O81" s="29">
        <f t="shared" si="18"/>
        <v>759.60318539508569</v>
      </c>
      <c r="P81" s="52">
        <f t="shared" si="19"/>
        <v>759.60318539508569</v>
      </c>
      <c r="Q81" s="35">
        <f t="shared" si="14"/>
        <v>0</v>
      </c>
      <c r="R81" s="84"/>
      <c r="S81" s="82">
        <v>2.2700000000000001E-2</v>
      </c>
      <c r="T81" s="34">
        <f t="shared" si="20"/>
        <v>4.1385239977796751E-2</v>
      </c>
      <c r="U81" s="34">
        <f t="shared" si="21"/>
        <v>1.8685239977796749E-2</v>
      </c>
      <c r="W81" s="35">
        <f t="shared" si="15"/>
        <v>2.2700000000000001E-2</v>
      </c>
      <c r="X81" s="34">
        <f t="shared" si="15"/>
        <v>4.1385239977796751E-2</v>
      </c>
      <c r="Y81" s="35">
        <f t="shared" si="22"/>
        <v>4.0841184717381768E-2</v>
      </c>
      <c r="Z81" s="34">
        <f t="shared" si="23"/>
        <v>5.4405526041498287E-4</v>
      </c>
    </row>
    <row r="82" spans="1:26" x14ac:dyDescent="0.2">
      <c r="A82" s="26">
        <v>44439</v>
      </c>
      <c r="B82" s="27">
        <v>301.8800048828125</v>
      </c>
      <c r="C82" s="28">
        <v>7514891</v>
      </c>
      <c r="D82" s="27">
        <v>223.85000610351562</v>
      </c>
      <c r="E82" s="28">
        <v>2500000</v>
      </c>
      <c r="F82" s="27">
        <v>2909.239990234375</v>
      </c>
      <c r="G82" s="28">
        <v>320168</v>
      </c>
      <c r="H82" s="27">
        <v>735.719970703125</v>
      </c>
      <c r="I82" s="28">
        <v>1001767</v>
      </c>
      <c r="J82" s="29">
        <f t="shared" si="12"/>
        <v>4496685884.1173096</v>
      </c>
      <c r="K82" s="30">
        <f t="shared" si="13"/>
        <v>818.18005588095912</v>
      </c>
      <c r="L82" s="35">
        <f t="shared" si="16"/>
        <v>7.7115093259487733E-2</v>
      </c>
      <c r="M82" s="35" t="str">
        <f t="shared" si="17"/>
        <v/>
      </c>
      <c r="O82" s="29">
        <f t="shared" si="18"/>
        <v>818.18005587703169</v>
      </c>
      <c r="P82" s="52">
        <f t="shared" si="19"/>
        <v>818.18005587703169</v>
      </c>
      <c r="Q82" s="35">
        <f t="shared" si="14"/>
        <v>0</v>
      </c>
      <c r="R82" s="84"/>
      <c r="S82" s="82">
        <v>2.9000000000000001E-2</v>
      </c>
      <c r="T82" s="34">
        <f t="shared" si="20"/>
        <v>7.7115093259487733E-2</v>
      </c>
      <c r="U82" s="34">
        <f t="shared" si="21"/>
        <v>4.8115093259487735E-2</v>
      </c>
      <c r="W82" s="35">
        <f t="shared" si="15"/>
        <v>2.9000000000000001E-2</v>
      </c>
      <c r="X82" s="34">
        <f t="shared" si="15"/>
        <v>7.7115093259487733E-2</v>
      </c>
      <c r="Y82" s="35">
        <f t="shared" si="22"/>
        <v>4.8340231054780365E-2</v>
      </c>
      <c r="Z82" s="34">
        <f t="shared" si="23"/>
        <v>2.8774862204707367E-2</v>
      </c>
    </row>
    <row r="83" spans="1:26" x14ac:dyDescent="0.2">
      <c r="A83" s="26">
        <v>44469</v>
      </c>
      <c r="B83" s="27">
        <v>281.92001342773438</v>
      </c>
      <c r="C83" s="28">
        <v>7507897</v>
      </c>
      <c r="D83" s="27">
        <v>207.16000366210938</v>
      </c>
      <c r="E83" s="28">
        <v>2500000</v>
      </c>
      <c r="F83" s="27">
        <v>2665.31005859375</v>
      </c>
      <c r="G83" s="28">
        <v>318620</v>
      </c>
      <c r="H83" s="27">
        <v>775.47998046875</v>
      </c>
      <c r="I83" s="28">
        <v>1004000</v>
      </c>
      <c r="J83" s="29">
        <f t="shared" si="12"/>
        <v>4262329423.4690857</v>
      </c>
      <c r="K83" s="30">
        <f t="shared" si="13"/>
        <v>775.53847783645062</v>
      </c>
      <c r="L83" s="35">
        <f t="shared" si="16"/>
        <v>-5.2117596533925559E-2</v>
      </c>
      <c r="M83" s="35">
        <f t="shared" si="17"/>
        <v>-5.2117596533925559E-2</v>
      </c>
      <c r="O83" s="29">
        <f t="shared" si="18"/>
        <v>775.53847783272784</v>
      </c>
      <c r="P83" s="52">
        <f t="shared" si="19"/>
        <v>818.18005587703169</v>
      </c>
      <c r="Q83" s="35">
        <f t="shared" si="14"/>
        <v>-5.211759653392567E-2</v>
      </c>
      <c r="R83" s="84"/>
      <c r="S83" s="82">
        <v>-4.7600000000000003E-2</v>
      </c>
      <c r="T83" s="34">
        <f t="shared" si="20"/>
        <v>-5.2117596533925559E-2</v>
      </c>
      <c r="U83" s="34">
        <f t="shared" si="21"/>
        <v>-4.5175965339255553E-3</v>
      </c>
      <c r="W83" s="35">
        <f t="shared" si="15"/>
        <v>-4.7600000000000003E-2</v>
      </c>
      <c r="X83" s="34">
        <f t="shared" si="15"/>
        <v>-5.2117596533925559E-2</v>
      </c>
      <c r="Y83" s="35">
        <f t="shared" si="22"/>
        <v>-4.2838649809462899E-2</v>
      </c>
      <c r="Z83" s="34">
        <f t="shared" si="23"/>
        <v>-9.2789467244626597E-3</v>
      </c>
    </row>
    <row r="84" spans="1:26" x14ac:dyDescent="0.2">
      <c r="A84" s="26">
        <v>44498</v>
      </c>
      <c r="B84" s="27">
        <v>331.6199951171875</v>
      </c>
      <c r="C84" s="28">
        <v>7507980</v>
      </c>
      <c r="D84" s="27">
        <v>255.66999816894531</v>
      </c>
      <c r="E84" s="28">
        <v>2502000</v>
      </c>
      <c r="F84" s="27">
        <v>2965.409912109375</v>
      </c>
      <c r="G84" s="28">
        <v>317738</v>
      </c>
      <c r="H84" s="27">
        <v>1114</v>
      </c>
      <c r="I84" s="28">
        <v>1004265</v>
      </c>
      <c r="J84" s="29">
        <f t="shared" si="12"/>
        <v>5190457251.0124512</v>
      </c>
      <c r="K84" s="30">
        <f t="shared" si="13"/>
        <v>944.41299951168833</v>
      </c>
      <c r="L84" s="35">
        <f t="shared" si="16"/>
        <v>0.21775131279927384</v>
      </c>
      <c r="M84" s="35" t="str">
        <f t="shared" si="17"/>
        <v/>
      </c>
      <c r="O84" s="29">
        <f t="shared" si="18"/>
        <v>944.41299950715484</v>
      </c>
      <c r="P84" s="52">
        <f t="shared" si="19"/>
        <v>944.41299950715484</v>
      </c>
      <c r="Q84" s="35">
        <f t="shared" si="14"/>
        <v>0</v>
      </c>
      <c r="R84" s="84"/>
      <c r="S84" s="82">
        <v>6.9099999999999995E-2</v>
      </c>
      <c r="T84" s="34">
        <f t="shared" si="20"/>
        <v>0.21775131279927384</v>
      </c>
      <c r="U84" s="34">
        <f t="shared" si="21"/>
        <v>0.14865131279927385</v>
      </c>
      <c r="W84" s="35">
        <f t="shared" si="15"/>
        <v>6.9099999999999995E-2</v>
      </c>
      <c r="X84" s="34">
        <f t="shared" si="15"/>
        <v>0.21775131279927384</v>
      </c>
      <c r="Y84" s="35">
        <f t="shared" si="22"/>
        <v>9.607225615473014E-2</v>
      </c>
      <c r="Z84" s="34">
        <f t="shared" si="23"/>
        <v>0.1216790566445437</v>
      </c>
    </row>
    <row r="85" spans="1:26" x14ac:dyDescent="0.2">
      <c r="A85" s="26">
        <v>44530</v>
      </c>
      <c r="B85" s="27">
        <v>330.58999633789062</v>
      </c>
      <c r="C85" s="28">
        <v>7507980</v>
      </c>
      <c r="D85" s="27">
        <v>326.760009765625</v>
      </c>
      <c r="E85" s="28">
        <v>2500000</v>
      </c>
      <c r="F85" s="27">
        <v>2849.0400390625</v>
      </c>
      <c r="G85" s="28">
        <v>317738</v>
      </c>
      <c r="H85" s="27">
        <v>1144.760009765625</v>
      </c>
      <c r="I85" s="28">
        <v>1004265</v>
      </c>
      <c r="J85" s="29">
        <f t="shared" si="12"/>
        <v>5353853800.2579346</v>
      </c>
      <c r="K85" s="30">
        <f t="shared" si="13"/>
        <v>974.14329449729598</v>
      </c>
      <c r="L85" s="35">
        <f t="shared" si="16"/>
        <v>3.1480183988339627E-2</v>
      </c>
      <c r="M85" s="35" t="str">
        <f t="shared" si="17"/>
        <v/>
      </c>
      <c r="O85" s="29">
        <f t="shared" si="18"/>
        <v>974.14329449261982</v>
      </c>
      <c r="P85" s="52">
        <f t="shared" si="19"/>
        <v>974.14329449261982</v>
      </c>
      <c r="Q85" s="35">
        <f t="shared" si="14"/>
        <v>0</v>
      </c>
      <c r="R85" s="84"/>
      <c r="S85" s="82">
        <v>-8.3000000000000001E-3</v>
      </c>
      <c r="T85" s="34">
        <f t="shared" si="20"/>
        <v>3.1480183988339627E-2</v>
      </c>
      <c r="U85" s="34">
        <f t="shared" si="21"/>
        <v>3.9780183988339629E-2</v>
      </c>
      <c r="W85" s="35">
        <f t="shared" si="15"/>
        <v>-8.3000000000000001E-3</v>
      </c>
      <c r="X85" s="34">
        <f t="shared" si="15"/>
        <v>3.1480183988339627E-2</v>
      </c>
      <c r="Y85" s="35">
        <f t="shared" si="22"/>
        <v>3.9411154381188262E-3</v>
      </c>
      <c r="Z85" s="34">
        <f t="shared" si="23"/>
        <v>2.7539068550220799E-2</v>
      </c>
    </row>
    <row r="86" spans="1:26" x14ac:dyDescent="0.2">
      <c r="A86" s="26">
        <v>44561</v>
      </c>
      <c r="B86" s="27">
        <v>336.32000732421875</v>
      </c>
      <c r="C86" s="28">
        <v>7507980</v>
      </c>
      <c r="D86" s="27">
        <v>294.1099853515625</v>
      </c>
      <c r="E86" s="28">
        <v>2500000</v>
      </c>
      <c r="F86" s="27">
        <v>2893.590087890625</v>
      </c>
      <c r="G86" s="28">
        <v>316719</v>
      </c>
      <c r="H86" s="27">
        <v>1056.780029296875</v>
      </c>
      <c r="I86" s="28">
        <v>1033508</v>
      </c>
      <c r="J86" s="29">
        <f t="shared" si="12"/>
        <v>5269004425.5341797</v>
      </c>
      <c r="K86" s="30">
        <f t="shared" si="13"/>
        <v>958.7047986934972</v>
      </c>
      <c r="L86" s="35">
        <f t="shared" si="16"/>
        <v>-1.5848280115468794E-2</v>
      </c>
      <c r="M86" s="35">
        <f t="shared" si="17"/>
        <v>-1.5848280115468794E-2</v>
      </c>
      <c r="O86" s="29">
        <f t="shared" si="18"/>
        <v>958.70479868889515</v>
      </c>
      <c r="P86" s="52">
        <f t="shared" si="19"/>
        <v>974.14329449261982</v>
      </c>
      <c r="Q86" s="35">
        <f t="shared" si="14"/>
        <v>-1.5848280115468794E-2</v>
      </c>
      <c r="R86" s="84"/>
      <c r="S86" s="82">
        <v>4.36E-2</v>
      </c>
      <c r="T86" s="34">
        <f t="shared" si="20"/>
        <v>-1.5848280115468794E-2</v>
      </c>
      <c r="U86" s="34">
        <f t="shared" si="21"/>
        <v>-5.9448280115468793E-2</v>
      </c>
      <c r="W86" s="35">
        <f t="shared" si="15"/>
        <v>4.36E-2</v>
      </c>
      <c r="X86" s="34">
        <f t="shared" si="15"/>
        <v>-1.5848280115468794E-2</v>
      </c>
      <c r="Y86" s="35">
        <f t="shared" si="22"/>
        <v>6.5718973360497743E-2</v>
      </c>
      <c r="Z86" s="34">
        <f t="shared" si="23"/>
        <v>-8.1567253475966536E-2</v>
      </c>
    </row>
    <row r="87" spans="1:26" x14ac:dyDescent="0.2">
      <c r="A87" s="26">
        <v>44592</v>
      </c>
      <c r="B87" s="27">
        <v>310.98001098632812</v>
      </c>
      <c r="C87" s="28">
        <v>7496866</v>
      </c>
      <c r="D87" s="27">
        <v>244.86000061035156</v>
      </c>
      <c r="E87" s="28">
        <v>2506000</v>
      </c>
      <c r="F87" s="27">
        <v>2713.969970703125</v>
      </c>
      <c r="G87" s="28">
        <v>315639</v>
      </c>
      <c r="H87" s="27">
        <v>936.719970703125</v>
      </c>
      <c r="I87" s="28">
        <v>1033508</v>
      </c>
      <c r="J87" s="29">
        <f t="shared" si="12"/>
        <v>4769736983.6367798</v>
      </c>
      <c r="K87" s="30">
        <f t="shared" si="13"/>
        <v>867.86219281925037</v>
      </c>
      <c r="L87" s="35">
        <f t="shared" si="16"/>
        <v>-9.4755555618418974E-2</v>
      </c>
      <c r="M87" s="35">
        <f t="shared" si="17"/>
        <v>-9.4755555618418974E-2</v>
      </c>
      <c r="O87" s="29">
        <f t="shared" si="18"/>
        <v>867.86219281508443</v>
      </c>
      <c r="P87" s="52">
        <f t="shared" si="19"/>
        <v>974.14329449261982</v>
      </c>
      <c r="Q87" s="35">
        <f t="shared" si="14"/>
        <v>-0.10910212314595014</v>
      </c>
      <c r="R87" s="84"/>
      <c r="S87" s="82">
        <v>-5.2600000000000001E-2</v>
      </c>
      <c r="T87" s="34">
        <f t="shared" si="20"/>
        <v>-9.4755555618418974E-2</v>
      </c>
      <c r="U87" s="34">
        <f t="shared" si="21"/>
        <v>-4.2155555618418973E-2</v>
      </c>
      <c r="W87" s="35">
        <f t="shared" si="15"/>
        <v>-5.2600000000000001E-2</v>
      </c>
      <c r="X87" s="34">
        <f t="shared" si="15"/>
        <v>-9.4755555618418974E-2</v>
      </c>
      <c r="Y87" s="35">
        <f t="shared" si="22"/>
        <v>-4.8790273886763373E-2</v>
      </c>
      <c r="Z87" s="34">
        <f t="shared" si="23"/>
        <v>-4.5965281731655601E-2</v>
      </c>
    </row>
    <row r="88" spans="1:26" x14ac:dyDescent="0.2">
      <c r="A88" s="26">
        <v>44620</v>
      </c>
      <c r="B88" s="27">
        <v>298.79000854492188</v>
      </c>
      <c r="C88" s="28">
        <v>7496866</v>
      </c>
      <c r="D88" s="27">
        <v>243.85000610351562</v>
      </c>
      <c r="E88" s="28">
        <v>2506000</v>
      </c>
      <c r="F88" s="27">
        <v>2697.820068359375</v>
      </c>
      <c r="G88" s="28">
        <v>315639</v>
      </c>
      <c r="H88" s="27">
        <v>870.42999267578125</v>
      </c>
      <c r="I88" s="28">
        <v>1033508</v>
      </c>
      <c r="J88" s="29">
        <f t="shared" si="12"/>
        <v>4602210360.9227905</v>
      </c>
      <c r="K88" s="30">
        <f t="shared" si="13"/>
        <v>837.38042356384994</v>
      </c>
      <c r="L88" s="35">
        <f t="shared" si="16"/>
        <v>-3.5122821926808934E-2</v>
      </c>
      <c r="M88" s="35">
        <f t="shared" si="17"/>
        <v>-3.5122821926808934E-2</v>
      </c>
      <c r="O88" s="29">
        <f t="shared" si="18"/>
        <v>837.38042355983032</v>
      </c>
      <c r="P88" s="52">
        <f t="shared" si="19"/>
        <v>974.14329449261982</v>
      </c>
      <c r="Q88" s="35">
        <f t="shared" si="14"/>
        <v>-0.14039297062966705</v>
      </c>
      <c r="R88" s="84"/>
      <c r="S88" s="82">
        <v>-3.1399999999999997E-2</v>
      </c>
      <c r="T88" s="34">
        <f t="shared" si="20"/>
        <v>-3.5122821926808934E-2</v>
      </c>
      <c r="U88" s="34">
        <f t="shared" si="21"/>
        <v>-3.7228219268089363E-3</v>
      </c>
      <c r="W88" s="35">
        <f t="shared" si="15"/>
        <v>-3.1399999999999997E-2</v>
      </c>
      <c r="X88" s="34">
        <f t="shared" si="15"/>
        <v>-3.5122821926808934E-2</v>
      </c>
      <c r="Y88" s="35">
        <f t="shared" si="22"/>
        <v>-2.3555387799009356E-2</v>
      </c>
      <c r="Z88" s="34">
        <f t="shared" si="23"/>
        <v>-1.1567434127799578E-2</v>
      </c>
    </row>
    <row r="89" spans="1:26" x14ac:dyDescent="0.2">
      <c r="A89" s="26">
        <v>44651</v>
      </c>
      <c r="B89" s="27">
        <v>308.30999755859375</v>
      </c>
      <c r="C89" s="28">
        <v>7483000</v>
      </c>
      <c r="D89" s="27">
        <v>272.8599853515625</v>
      </c>
      <c r="E89" s="28">
        <v>2503959</v>
      </c>
      <c r="F89" s="27">
        <v>2792.989990234375</v>
      </c>
      <c r="G89" s="28">
        <v>313596</v>
      </c>
      <c r="H89" s="27">
        <v>1077.5999755859375</v>
      </c>
      <c r="I89" s="28">
        <v>1035976</v>
      </c>
      <c r="J89" s="29">
        <f t="shared" si="12"/>
        <v>4982552129.0770264</v>
      </c>
      <c r="K89" s="30">
        <f t="shared" si="13"/>
        <v>906.5842899538593</v>
      </c>
      <c r="L89" s="35">
        <f t="shared" si="16"/>
        <v>8.2643281885527164E-2</v>
      </c>
      <c r="M89" s="35" t="str">
        <f t="shared" si="17"/>
        <v/>
      </c>
      <c r="O89" s="29">
        <f t="shared" si="18"/>
        <v>906.58428994950748</v>
      </c>
      <c r="P89" s="52">
        <f t="shared" si="19"/>
        <v>974.14329449261982</v>
      </c>
      <c r="Q89" s="35">
        <f t="shared" si="14"/>
        <v>-6.935222459063406E-2</v>
      </c>
      <c r="R89" s="84"/>
      <c r="S89" s="82">
        <v>3.5799999999999998E-2</v>
      </c>
      <c r="T89" s="34">
        <f t="shared" si="20"/>
        <v>8.2643281885527164E-2</v>
      </c>
      <c r="U89" s="34">
        <f t="shared" si="21"/>
        <v>4.6843281885527166E-2</v>
      </c>
      <c r="W89" s="35">
        <f t="shared" si="15"/>
        <v>3.5799999999999998E-2</v>
      </c>
      <c r="X89" s="34">
        <f t="shared" si="15"/>
        <v>8.2643281885527164E-2</v>
      </c>
      <c r="Y89" s="35">
        <f t="shared" si="22"/>
        <v>5.6434439799909003E-2</v>
      </c>
      <c r="Z89" s="34">
        <f t="shared" si="23"/>
        <v>2.6208842085618161E-2</v>
      </c>
    </row>
    <row r="90" spans="1:26" x14ac:dyDescent="0.2">
      <c r="A90" s="26">
        <v>44680</v>
      </c>
      <c r="B90" s="27">
        <v>277.51998901367188</v>
      </c>
      <c r="C90" s="28">
        <v>7479033</v>
      </c>
      <c r="D90" s="27">
        <v>185.47000122070312</v>
      </c>
      <c r="E90" s="28">
        <v>2500000</v>
      </c>
      <c r="F90" s="27">
        <v>2299.330078125</v>
      </c>
      <c r="G90" s="28">
        <v>313376</v>
      </c>
      <c r="H90" s="27">
        <v>870.760009765625</v>
      </c>
      <c r="I90" s="28">
        <v>1036010</v>
      </c>
      <c r="J90" s="29">
        <f t="shared" si="12"/>
        <v>4161927099.3244324</v>
      </c>
      <c r="K90" s="30">
        <f t="shared" si="13"/>
        <v>757.27009501046723</v>
      </c>
      <c r="L90" s="35">
        <f t="shared" si="16"/>
        <v>-0.16469973790411863</v>
      </c>
      <c r="M90" s="35">
        <f t="shared" si="17"/>
        <v>-0.16469973790411863</v>
      </c>
      <c r="O90" s="29">
        <f t="shared" si="18"/>
        <v>757.27009500683209</v>
      </c>
      <c r="P90" s="52">
        <f t="shared" si="19"/>
        <v>974.14329449261982</v>
      </c>
      <c r="Q90" s="35">
        <f t="shared" si="14"/>
        <v>-0.22262966928160766</v>
      </c>
      <c r="R90" s="84"/>
      <c r="S90" s="82">
        <v>-8.7999999999999995E-2</v>
      </c>
      <c r="T90" s="34">
        <f t="shared" si="20"/>
        <v>-0.16469973790411863</v>
      </c>
      <c r="U90" s="34">
        <f t="shared" si="21"/>
        <v>-7.6699737904118631E-2</v>
      </c>
      <c r="W90" s="35">
        <f t="shared" si="15"/>
        <v>-8.7999999999999995E-2</v>
      </c>
      <c r="X90" s="34">
        <f t="shared" si="15"/>
        <v>-0.16469973790411863</v>
      </c>
      <c r="Y90" s="35">
        <f t="shared" si="22"/>
        <v>-9.0927772354050723E-2</v>
      </c>
      <c r="Z90" s="34">
        <f t="shared" si="23"/>
        <v>-7.3771965550067903E-2</v>
      </c>
    </row>
    <row r="91" spans="1:26" x14ac:dyDescent="0.2">
      <c r="A91" s="26">
        <v>44712</v>
      </c>
      <c r="B91" s="27">
        <v>271.8699951171875</v>
      </c>
      <c r="C91" s="28">
        <v>7479033</v>
      </c>
      <c r="D91" s="27">
        <v>186.72000122070312</v>
      </c>
      <c r="E91" s="28">
        <v>2500000</v>
      </c>
      <c r="F91" s="27">
        <v>2280.780029296875</v>
      </c>
      <c r="G91" s="28">
        <v>313376</v>
      </c>
      <c r="H91" s="27">
        <v>758.260009765625</v>
      </c>
      <c r="I91" s="28">
        <v>1036010</v>
      </c>
      <c r="J91" s="29">
        <f t="shared" si="12"/>
        <v>4000431343.4212646</v>
      </c>
      <c r="K91" s="30">
        <f t="shared" si="13"/>
        <v>727.88565278022486</v>
      </c>
      <c r="L91" s="35">
        <f t="shared" si="16"/>
        <v>-3.8803119816630538E-2</v>
      </c>
      <c r="M91" s="35">
        <f t="shared" si="17"/>
        <v>-3.8803119816630538E-2</v>
      </c>
      <c r="O91" s="29">
        <f t="shared" si="18"/>
        <v>727.88565277673081</v>
      </c>
      <c r="P91" s="52">
        <f t="shared" si="19"/>
        <v>974.14329449261982</v>
      </c>
      <c r="Q91" s="35">
        <f t="shared" si="14"/>
        <v>-0.25279406336636712</v>
      </c>
      <c r="R91" s="84"/>
      <c r="S91" s="82">
        <v>1E-4</v>
      </c>
      <c r="T91" s="34">
        <f t="shared" si="20"/>
        <v>-3.8803119816630538E-2</v>
      </c>
      <c r="U91" s="34">
        <f t="shared" si="21"/>
        <v>-3.8903119816630541E-2</v>
      </c>
      <c r="W91" s="35">
        <f t="shared" si="15"/>
        <v>1E-4</v>
      </c>
      <c r="X91" s="34">
        <f t="shared" si="15"/>
        <v>-3.8803119816630538E-2</v>
      </c>
      <c r="Y91" s="35">
        <f t="shared" si="22"/>
        <v>1.3939843887983623E-2</v>
      </c>
      <c r="Z91" s="34">
        <f t="shared" si="23"/>
        <v>-5.2742963704614163E-2</v>
      </c>
    </row>
    <row r="92" spans="1:26" x14ac:dyDescent="0.2">
      <c r="A92" s="26">
        <v>44742</v>
      </c>
      <c r="B92" s="27">
        <v>256.82998657226562</v>
      </c>
      <c r="C92" s="28">
        <v>7464000</v>
      </c>
      <c r="D92" s="27">
        <v>151.58999633789062</v>
      </c>
      <c r="E92" s="28">
        <v>2500000</v>
      </c>
      <c r="F92" s="27">
        <v>2187.449951171875</v>
      </c>
      <c r="G92" s="28">
        <v>313376</v>
      </c>
      <c r="H92" s="27">
        <v>673.41998291015625</v>
      </c>
      <c r="I92" s="28">
        <v>1041000</v>
      </c>
      <c r="J92" s="29">
        <f t="shared" si="12"/>
        <v>3682478528.7280273</v>
      </c>
      <c r="K92" s="30">
        <f t="shared" si="13"/>
        <v>670.03356829016343</v>
      </c>
      <c r="L92" s="35">
        <f t="shared" si="16"/>
        <v>-7.9479632919113308E-2</v>
      </c>
      <c r="M92" s="35">
        <f t="shared" si="17"/>
        <v>-7.9479632919113308E-2</v>
      </c>
      <c r="O92" s="29">
        <f t="shared" si="18"/>
        <v>670.03356828694712</v>
      </c>
      <c r="P92" s="52">
        <f t="shared" si="19"/>
        <v>974.14329449261982</v>
      </c>
      <c r="Q92" s="35">
        <f t="shared" si="14"/>
        <v>-0.31218171692499053</v>
      </c>
      <c r="R92" s="84"/>
      <c r="S92" s="82">
        <v>-8.3900000000000002E-2</v>
      </c>
      <c r="T92" s="34">
        <f t="shared" si="20"/>
        <v>-7.9479632919113308E-2</v>
      </c>
      <c r="U92" s="34">
        <f t="shared" si="21"/>
        <v>4.4203670808866946E-3</v>
      </c>
      <c r="W92" s="35">
        <f t="shared" si="15"/>
        <v>-8.3900000000000002E-2</v>
      </c>
      <c r="X92" s="34">
        <f t="shared" si="15"/>
        <v>-7.9479632919113308E-2</v>
      </c>
      <c r="Y92" s="35">
        <f t="shared" si="22"/>
        <v>-8.6047440610664341E-2</v>
      </c>
      <c r="Z92" s="34">
        <f t="shared" si="23"/>
        <v>6.5678076915510336E-3</v>
      </c>
    </row>
    <row r="93" spans="1:26" x14ac:dyDescent="0.2">
      <c r="A93" s="26">
        <v>44771</v>
      </c>
      <c r="B93" s="27">
        <v>280.739990234375</v>
      </c>
      <c r="C93" s="28">
        <v>7457892</v>
      </c>
      <c r="D93" s="27">
        <v>181.6300048828125</v>
      </c>
      <c r="E93" s="28">
        <v>2489000</v>
      </c>
      <c r="F93" s="27">
        <v>116.63999938964844</v>
      </c>
      <c r="G93" s="28">
        <v>6163000</v>
      </c>
      <c r="H93" s="27">
        <v>891.45001220703125</v>
      </c>
      <c r="I93" s="28">
        <v>1044490</v>
      </c>
      <c r="J93" s="29">
        <f t="shared" si="12"/>
        <v>4195768548.8908691</v>
      </c>
      <c r="K93" s="30">
        <f t="shared" si="13"/>
        <v>763.42760741202449</v>
      </c>
      <c r="L93" s="35">
        <f t="shared" si="16"/>
        <v>0.13938710467923299</v>
      </c>
      <c r="M93" s="35" t="str">
        <f t="shared" si="17"/>
        <v/>
      </c>
      <c r="O93" s="29">
        <f t="shared" si="18"/>
        <v>763.42760740835979</v>
      </c>
      <c r="P93" s="52">
        <f t="shared" si="19"/>
        <v>974.14329449261982</v>
      </c>
      <c r="Q93" s="35">
        <f t="shared" si="14"/>
        <v>-0.2163087179017239</v>
      </c>
      <c r="R93" s="84"/>
      <c r="S93" s="82">
        <v>9.11E-2</v>
      </c>
      <c r="T93" s="34">
        <f t="shared" si="20"/>
        <v>0.13938710467923299</v>
      </c>
      <c r="U93" s="34">
        <f t="shared" si="21"/>
        <v>4.8287104679232987E-2</v>
      </c>
      <c r="W93" s="35">
        <f t="shared" si="15"/>
        <v>9.11E-2</v>
      </c>
      <c r="X93" s="34">
        <f t="shared" si="15"/>
        <v>0.13938710467923299</v>
      </c>
      <c r="Y93" s="35">
        <f t="shared" si="22"/>
        <v>0.12225940209485224</v>
      </c>
      <c r="Z93" s="34">
        <f t="shared" si="23"/>
        <v>1.7127702584380747E-2</v>
      </c>
    </row>
    <row r="94" spans="1:26" x14ac:dyDescent="0.2">
      <c r="A94" s="26">
        <v>44804</v>
      </c>
      <c r="B94" s="27">
        <v>261.47000122070312</v>
      </c>
      <c r="C94" s="28">
        <v>7457892</v>
      </c>
      <c r="D94" s="27">
        <v>150.94000244140625</v>
      </c>
      <c r="E94" s="28">
        <v>2490000</v>
      </c>
      <c r="F94" s="27">
        <v>109.15000152587891</v>
      </c>
      <c r="G94" s="28">
        <v>6163000</v>
      </c>
      <c r="H94" s="27">
        <v>275.6099853515625</v>
      </c>
      <c r="I94" s="28">
        <v>3133470</v>
      </c>
      <c r="J94" s="29">
        <f t="shared" si="12"/>
        <v>3862162716.6265259</v>
      </c>
      <c r="K94" s="30">
        <f t="shared" si="13"/>
        <v>702.72742832049926</v>
      </c>
      <c r="L94" s="35">
        <f t="shared" si="16"/>
        <v>-7.9510065528407226E-2</v>
      </c>
      <c r="M94" s="35">
        <f t="shared" si="17"/>
        <v>-7.9510065528407226E-2</v>
      </c>
      <c r="O94" s="29">
        <f t="shared" si="18"/>
        <v>702.72742831712594</v>
      </c>
      <c r="P94" s="52">
        <f t="shared" si="19"/>
        <v>974.14329449261982</v>
      </c>
      <c r="Q94" s="35">
        <f t="shared" si="14"/>
        <v>-0.27862006309539933</v>
      </c>
      <c r="R94" s="84"/>
      <c r="S94" s="82">
        <v>-4.24E-2</v>
      </c>
      <c r="T94" s="34">
        <f t="shared" si="20"/>
        <v>-7.9510065528407226E-2</v>
      </c>
      <c r="U94" s="34">
        <f t="shared" si="21"/>
        <v>-3.7110065528407225E-2</v>
      </c>
      <c r="W94" s="35">
        <f t="shared" si="15"/>
        <v>-4.24E-2</v>
      </c>
      <c r="X94" s="34">
        <f t="shared" si="15"/>
        <v>-7.9510065528407226E-2</v>
      </c>
      <c r="Y94" s="35">
        <f t="shared" si="22"/>
        <v>-3.6648960769070399E-2</v>
      </c>
      <c r="Z94" s="34">
        <f t="shared" si="23"/>
        <v>-4.2861104759336827E-2</v>
      </c>
    </row>
    <row r="95" spans="1:26" x14ac:dyDescent="0.2">
      <c r="A95" s="26">
        <v>44834</v>
      </c>
      <c r="B95" s="27">
        <v>232.89999389648438</v>
      </c>
      <c r="C95" s="28">
        <v>7457000</v>
      </c>
      <c r="D95" s="27">
        <v>121.38999938964844</v>
      </c>
      <c r="E95" s="28">
        <v>2490000</v>
      </c>
      <c r="F95" s="27">
        <v>96.150001525878906</v>
      </c>
      <c r="G95" s="28">
        <v>6109000</v>
      </c>
      <c r="H95" s="27">
        <v>265.25</v>
      </c>
      <c r="I95" s="28">
        <v>3158000</v>
      </c>
      <c r="J95" s="29">
        <f t="shared" si="12"/>
        <v>3464036212.2879028</v>
      </c>
      <c r="K95" s="30">
        <f t="shared" si="13"/>
        <v>630.28759730672868</v>
      </c>
      <c r="L95" s="35">
        <f t="shared" si="16"/>
        <v>-0.10308382467281796</v>
      </c>
      <c r="M95" s="35">
        <f t="shared" si="17"/>
        <v>-0.10308382467281796</v>
      </c>
      <c r="O95" s="29">
        <f t="shared" si="18"/>
        <v>630.28759730370314</v>
      </c>
      <c r="P95" s="52">
        <f t="shared" si="19"/>
        <v>974.14329449261982</v>
      </c>
      <c r="Q95" s="35">
        <f t="shared" si="14"/>
        <v>-0.35298266603376161</v>
      </c>
      <c r="R95" s="84"/>
      <c r="S95" s="82">
        <v>-9.3399999999999997E-2</v>
      </c>
      <c r="T95" s="34">
        <f t="shared" si="20"/>
        <v>-0.10308382467281796</v>
      </c>
      <c r="U95" s="34">
        <f t="shared" si="21"/>
        <v>-9.6838246728179617E-3</v>
      </c>
      <c r="W95" s="35">
        <f t="shared" si="15"/>
        <v>-9.3399999999999997E-2</v>
      </c>
      <c r="X95" s="34">
        <f t="shared" si="15"/>
        <v>-0.10308382467281796</v>
      </c>
      <c r="Y95" s="35">
        <f t="shared" si="22"/>
        <v>-9.7355526357535235E-2</v>
      </c>
      <c r="Z95" s="34">
        <f t="shared" si="23"/>
        <v>-5.7282983152827233E-3</v>
      </c>
    </row>
    <row r="96" spans="1:26" x14ac:dyDescent="0.2">
      <c r="A96" s="26">
        <v>44865</v>
      </c>
      <c r="B96" s="27">
        <v>232.1300048828125</v>
      </c>
      <c r="C96" s="28">
        <v>7454473</v>
      </c>
      <c r="D96" s="27">
        <v>134.97000122070312</v>
      </c>
      <c r="E96" s="28">
        <v>2460000</v>
      </c>
      <c r="F96" s="27">
        <v>94.660003662109375</v>
      </c>
      <c r="G96" s="28">
        <v>6086000</v>
      </c>
      <c r="H96" s="27">
        <v>227.53999328613281</v>
      </c>
      <c r="I96" s="28">
        <v>3157752</v>
      </c>
      <c r="J96" s="29">
        <f t="shared" si="12"/>
        <v>3357048708.0585938</v>
      </c>
      <c r="K96" s="30">
        <f t="shared" si="13"/>
        <v>610.82102916193526</v>
      </c>
      <c r="L96" s="35">
        <f t="shared" si="16"/>
        <v>-3.088521530167454E-2</v>
      </c>
      <c r="M96" s="35">
        <f t="shared" si="17"/>
        <v>-3.088521530167454E-2</v>
      </c>
      <c r="O96" s="29">
        <f t="shared" si="18"/>
        <v>610.82102915900316</v>
      </c>
      <c r="P96" s="52">
        <f t="shared" si="19"/>
        <v>974.14329449261982</v>
      </c>
      <c r="Q96" s="35">
        <f t="shared" si="14"/>
        <v>-0.37296593569722425</v>
      </c>
      <c r="R96" s="84"/>
      <c r="S96" s="82">
        <v>7.9899999999999999E-2</v>
      </c>
      <c r="T96" s="34">
        <f t="shared" si="20"/>
        <v>-3.088521530167454E-2</v>
      </c>
      <c r="U96" s="34">
        <f t="shared" si="21"/>
        <v>-0.11078521530167454</v>
      </c>
      <c r="W96" s="35">
        <f t="shared" si="15"/>
        <v>7.9899999999999999E-2</v>
      </c>
      <c r="X96" s="34">
        <f t="shared" si="15"/>
        <v>-3.088521530167454E-2</v>
      </c>
      <c r="Y96" s="35">
        <f t="shared" si="22"/>
        <v>0.10892776416169918</v>
      </c>
      <c r="Z96" s="34">
        <f t="shared" si="23"/>
        <v>-0.13981297946337373</v>
      </c>
    </row>
    <row r="97" spans="1:26" x14ac:dyDescent="0.2">
      <c r="A97" s="26">
        <v>44895</v>
      </c>
      <c r="B97" s="27">
        <v>255.13999938964844</v>
      </c>
      <c r="C97" s="28">
        <v>7454473</v>
      </c>
      <c r="D97" s="27">
        <v>169.22999572753906</v>
      </c>
      <c r="E97" s="28">
        <v>2460000</v>
      </c>
      <c r="F97" s="27">
        <v>101.44999694824219</v>
      </c>
      <c r="G97" s="28">
        <v>6086000</v>
      </c>
      <c r="H97" s="27">
        <v>194.69999694824219</v>
      </c>
      <c r="I97" s="28">
        <v>3157752</v>
      </c>
      <c r="J97" s="29">
        <f t="shared" si="12"/>
        <v>3550479012.3502045</v>
      </c>
      <c r="K97" s="30">
        <f t="shared" si="13"/>
        <v>646.01601970672118</v>
      </c>
      <c r="L97" s="35">
        <f t="shared" si="16"/>
        <v>5.7619153343614338E-2</v>
      </c>
      <c r="M97" s="35" t="str">
        <f t="shared" si="17"/>
        <v/>
      </c>
      <c r="O97" s="29">
        <f t="shared" si="18"/>
        <v>646.01601970362003</v>
      </c>
      <c r="P97" s="52">
        <f t="shared" si="19"/>
        <v>974.14329449261982</v>
      </c>
      <c r="Q97" s="35">
        <f t="shared" si="14"/>
        <v>-0.33683676379449301</v>
      </c>
      <c r="R97" s="84"/>
      <c r="S97" s="82">
        <v>5.3800000000000001E-2</v>
      </c>
      <c r="T97" s="34">
        <f t="shared" si="20"/>
        <v>5.7619153343614338E-2</v>
      </c>
      <c r="U97" s="34">
        <f t="shared" si="21"/>
        <v>3.8191533436143371E-3</v>
      </c>
      <c r="W97" s="35">
        <f t="shared" si="15"/>
        <v>5.3800000000000001E-2</v>
      </c>
      <c r="X97" s="34">
        <f t="shared" si="15"/>
        <v>5.7619153343614338E-2</v>
      </c>
      <c r="Y97" s="35">
        <f t="shared" si="22"/>
        <v>7.786028647819071E-2</v>
      </c>
      <c r="Z97" s="34">
        <f t="shared" si="23"/>
        <v>-2.0241133134576372E-2</v>
      </c>
    </row>
    <row r="98" spans="1:26" x14ac:dyDescent="0.2">
      <c r="A98" s="26">
        <v>44925</v>
      </c>
      <c r="B98" s="27">
        <v>239.82000732421875</v>
      </c>
      <c r="C98" s="28">
        <v>7447000</v>
      </c>
      <c r="D98" s="27">
        <v>146.13999938964844</v>
      </c>
      <c r="E98" s="28">
        <v>2460000</v>
      </c>
      <c r="F98" s="27">
        <v>88.730003356933594</v>
      </c>
      <c r="G98" s="28">
        <v>5968000</v>
      </c>
      <c r="H98" s="27">
        <v>123.18000030517578</v>
      </c>
      <c r="I98" s="28">
        <v>3164000</v>
      </c>
      <c r="J98" s="29">
        <f t="shared" si="12"/>
        <v>3064726174.041748</v>
      </c>
      <c r="K98" s="30">
        <f t="shared" si="13"/>
        <v>557.63242017727282</v>
      </c>
      <c r="L98" s="35">
        <f t="shared" si="16"/>
        <v>-0.13681332479893116</v>
      </c>
      <c r="M98" s="35">
        <f t="shared" si="17"/>
        <v>-0.13681332479893116</v>
      </c>
      <c r="O98" s="29">
        <f t="shared" si="18"/>
        <v>557.63242017459595</v>
      </c>
      <c r="P98" s="52">
        <f t="shared" si="19"/>
        <v>974.14329449261982</v>
      </c>
      <c r="Q98" s="35">
        <f t="shared" si="14"/>
        <v>-0.42756633102418728</v>
      </c>
      <c r="R98" s="84"/>
      <c r="S98" s="82">
        <v>-5.8999999999999997E-2</v>
      </c>
      <c r="T98" s="34">
        <f t="shared" si="20"/>
        <v>-0.13681332479893116</v>
      </c>
      <c r="U98" s="34">
        <f t="shared" si="21"/>
        <v>-7.781332479893116E-2</v>
      </c>
      <c r="W98" s="35">
        <f t="shared" si="15"/>
        <v>-5.8999999999999997E-2</v>
      </c>
      <c r="X98" s="34">
        <f t="shared" si="15"/>
        <v>-0.13681332479893116</v>
      </c>
      <c r="Y98" s="35">
        <f t="shared" si="22"/>
        <v>-5.6408352705707966E-2</v>
      </c>
      <c r="Z98" s="34">
        <f t="shared" si="23"/>
        <v>-8.0404972093223198E-2</v>
      </c>
    </row>
    <row r="99" spans="1:26" x14ac:dyDescent="0.2">
      <c r="A99" s="26">
        <v>44957</v>
      </c>
      <c r="B99" s="27">
        <v>247.80999755859375</v>
      </c>
      <c r="C99" s="28">
        <v>7443804</v>
      </c>
      <c r="D99" s="27">
        <v>195.3699951171875</v>
      </c>
      <c r="E99" s="28">
        <v>2466000</v>
      </c>
      <c r="F99" s="27">
        <v>99.870002746582031</v>
      </c>
      <c r="G99" s="28">
        <v>5968000</v>
      </c>
      <c r="H99" s="27">
        <v>173.22000122070312</v>
      </c>
      <c r="I99" s="28">
        <v>3164103</v>
      </c>
      <c r="J99" s="29">
        <f t="shared" si="12"/>
        <v>3470541560.9396667</v>
      </c>
      <c r="K99" s="30">
        <f t="shared" si="13"/>
        <v>631.47125715324478</v>
      </c>
      <c r="L99" s="35">
        <f t="shared" si="16"/>
        <v>0.13241489250660576</v>
      </c>
      <c r="M99" s="35" t="str">
        <f t="shared" si="17"/>
        <v/>
      </c>
      <c r="O99" s="29">
        <f t="shared" si="18"/>
        <v>631.47125715021355</v>
      </c>
      <c r="P99" s="52">
        <f t="shared" si="19"/>
        <v>974.14329449261982</v>
      </c>
      <c r="Q99" s="35">
        <f t="shared" si="14"/>
        <v>-0.35176758827959309</v>
      </c>
      <c r="R99" s="84"/>
      <c r="S99" s="82">
        <v>6.1800000000000001E-2</v>
      </c>
      <c r="T99" s="34">
        <f t="shared" si="20"/>
        <v>0.13241489250660576</v>
      </c>
      <c r="U99" s="34">
        <f t="shared" si="21"/>
        <v>7.061489250660577E-2</v>
      </c>
      <c r="W99" s="35">
        <f t="shared" si="15"/>
        <v>6.1800000000000001E-2</v>
      </c>
      <c r="X99" s="34">
        <f t="shared" si="15"/>
        <v>0.13241489250660576</v>
      </c>
      <c r="Y99" s="35">
        <f t="shared" si="22"/>
        <v>8.7382885001871469E-2</v>
      </c>
      <c r="Z99" s="34">
        <f t="shared" si="23"/>
        <v>4.5032007504734295E-2</v>
      </c>
    </row>
    <row r="100" spans="1:26" x14ac:dyDescent="0.2">
      <c r="A100" s="26">
        <v>44985</v>
      </c>
      <c r="B100" s="27">
        <v>249.41999816894531</v>
      </c>
      <c r="C100" s="28">
        <v>7443804</v>
      </c>
      <c r="D100" s="27">
        <v>232.16000366210938</v>
      </c>
      <c r="E100" s="28">
        <v>2470000</v>
      </c>
      <c r="F100" s="27">
        <v>90.300003051757812</v>
      </c>
      <c r="G100" s="28">
        <v>5968000</v>
      </c>
      <c r="H100" s="27">
        <v>205.71000671386719</v>
      </c>
      <c r="I100" s="28">
        <v>3164103</v>
      </c>
      <c r="J100" s="29">
        <f t="shared" si="12"/>
        <v>3619866856.6816559</v>
      </c>
      <c r="K100" s="30">
        <f t="shared" si="13"/>
        <v>658.64126234443552</v>
      </c>
      <c r="L100" s="35">
        <f t="shared" si="16"/>
        <v>4.3026511315299887E-2</v>
      </c>
      <c r="M100" s="35" t="str">
        <f t="shared" si="17"/>
        <v/>
      </c>
      <c r="O100" s="29">
        <f t="shared" si="18"/>
        <v>658.64126234127389</v>
      </c>
      <c r="P100" s="52">
        <f t="shared" si="19"/>
        <v>974.14329449261982</v>
      </c>
      <c r="Q100" s="35">
        <f t="shared" si="14"/>
        <v>-0.32387640908176085</v>
      </c>
      <c r="R100" s="84"/>
      <c r="S100" s="82">
        <v>-2.6100000000000002E-2</v>
      </c>
      <c r="T100" s="34">
        <f t="shared" si="20"/>
        <v>4.3026511315299887E-2</v>
      </c>
      <c r="U100" s="34">
        <f t="shared" si="21"/>
        <v>6.9126511315299885E-2</v>
      </c>
      <c r="W100" s="35">
        <f t="shared" si="15"/>
        <v>-2.6100000000000002E-2</v>
      </c>
      <c r="X100" s="34">
        <f t="shared" si="15"/>
        <v>4.3026511315299887E-2</v>
      </c>
      <c r="Y100" s="35">
        <f t="shared" si="22"/>
        <v>-1.724666627707086E-2</v>
      </c>
      <c r="Z100" s="34">
        <f t="shared" si="23"/>
        <v>6.0273177592370747E-2</v>
      </c>
    </row>
    <row r="101" spans="1:26" x14ac:dyDescent="0.2">
      <c r="A101" s="26">
        <v>45016</v>
      </c>
      <c r="B101" s="27">
        <v>288.29998779296875</v>
      </c>
      <c r="C101" s="28">
        <v>7437000</v>
      </c>
      <c r="D101" s="27">
        <v>277.76998901367188</v>
      </c>
      <c r="E101" s="28">
        <v>2470000</v>
      </c>
      <c r="F101" s="27">
        <v>104</v>
      </c>
      <c r="G101" s="28">
        <v>5896000</v>
      </c>
      <c r="H101" s="27">
        <v>207.46000671386719</v>
      </c>
      <c r="I101" s="28">
        <v>3169314</v>
      </c>
      <c r="J101" s="29">
        <f t="shared" si="12"/>
        <v>4100868785.7984314</v>
      </c>
      <c r="K101" s="30">
        <f t="shared" si="13"/>
        <v>746.16042543155538</v>
      </c>
      <c r="L101" s="35">
        <f t="shared" si="16"/>
        <v>0.1328783483372955</v>
      </c>
      <c r="M101" s="35" t="str">
        <f t="shared" si="17"/>
        <v/>
      </c>
      <c r="O101" s="29">
        <f t="shared" si="18"/>
        <v>746.16042542797368</v>
      </c>
      <c r="P101" s="52">
        <f t="shared" si="19"/>
        <v>974.14329449261982</v>
      </c>
      <c r="Q101" s="35">
        <f t="shared" si="14"/>
        <v>-0.23403422304866395</v>
      </c>
      <c r="R101" s="84"/>
      <c r="S101" s="82">
        <v>3.5099999999999999E-2</v>
      </c>
      <c r="T101" s="34">
        <f t="shared" si="20"/>
        <v>0.1328783483372955</v>
      </c>
      <c r="U101" s="34">
        <f t="shared" si="21"/>
        <v>9.7778348337295512E-2</v>
      </c>
      <c r="W101" s="35">
        <f t="shared" si="15"/>
        <v>3.5099999999999999E-2</v>
      </c>
      <c r="X101" s="34">
        <f t="shared" si="15"/>
        <v>0.1328783483372955</v>
      </c>
      <c r="Y101" s="35">
        <f t="shared" si="22"/>
        <v>5.5601212429086937E-2</v>
      </c>
      <c r="Z101" s="34">
        <f t="shared" si="23"/>
        <v>7.7277135908208561E-2</v>
      </c>
    </row>
    <row r="102" spans="1:26" x14ac:dyDescent="0.2">
      <c r="A102" s="26">
        <v>45044</v>
      </c>
      <c r="B102" s="27">
        <v>307.260009765625</v>
      </c>
      <c r="C102" s="28">
        <v>7435488</v>
      </c>
      <c r="D102" s="27">
        <v>277.489990234375</v>
      </c>
      <c r="E102" s="28">
        <v>2470000</v>
      </c>
      <c r="F102" s="27">
        <v>108.22000122070312</v>
      </c>
      <c r="G102" s="28">
        <v>5874000</v>
      </c>
      <c r="H102" s="27">
        <v>164.30999755859375</v>
      </c>
      <c r="I102" s="28">
        <v>3169504</v>
      </c>
      <c r="J102" s="29">
        <f t="shared" si="12"/>
        <v>4126493873.043457</v>
      </c>
      <c r="K102" s="30">
        <f t="shared" si="13"/>
        <v>750.82295598280939</v>
      </c>
      <c r="L102" s="35">
        <f t="shared" si="16"/>
        <v>6.2486971867441454E-3</v>
      </c>
      <c r="M102" s="35" t="str">
        <f t="shared" si="17"/>
        <v/>
      </c>
      <c r="O102" s="29">
        <f t="shared" si="18"/>
        <v>750.82295597920529</v>
      </c>
      <c r="P102" s="52">
        <f t="shared" si="19"/>
        <v>974.14329449261982</v>
      </c>
      <c r="Q102" s="35">
        <f t="shared" si="14"/>
        <v>-0.22924793485308581</v>
      </c>
      <c r="R102" s="84"/>
      <c r="S102" s="82">
        <v>1.46E-2</v>
      </c>
      <c r="T102" s="34">
        <f t="shared" si="20"/>
        <v>6.2486971867441454E-3</v>
      </c>
      <c r="U102" s="34">
        <f t="shared" si="21"/>
        <v>-8.3513028132558547E-3</v>
      </c>
      <c r="W102" s="35">
        <f t="shared" si="15"/>
        <v>1.46E-2</v>
      </c>
      <c r="X102" s="34">
        <f t="shared" si="15"/>
        <v>6.2486971867441454E-3</v>
      </c>
      <c r="Y102" s="35">
        <f t="shared" si="22"/>
        <v>3.1199553712155E-2</v>
      </c>
      <c r="Z102" s="34">
        <f t="shared" si="23"/>
        <v>-2.4950856525410854E-2</v>
      </c>
    </row>
    <row r="103" spans="1:26" x14ac:dyDescent="0.2">
      <c r="A103" s="26">
        <v>45077</v>
      </c>
      <c r="B103" s="27">
        <v>328.3900146484375</v>
      </c>
      <c r="C103" s="28">
        <v>7435488</v>
      </c>
      <c r="D103" s="27">
        <v>378.33999633789062</v>
      </c>
      <c r="E103" s="28">
        <v>2470000</v>
      </c>
      <c r="F103" s="27">
        <v>123.37000274658203</v>
      </c>
      <c r="G103" s="28">
        <v>5874000</v>
      </c>
      <c r="H103" s="27">
        <v>203.92999267578125</v>
      </c>
      <c r="I103" s="28">
        <v>3169504</v>
      </c>
      <c r="J103" s="29">
        <f t="shared" si="12"/>
        <v>4747272127.8321533</v>
      </c>
      <c r="K103" s="30">
        <f t="shared" si="13"/>
        <v>863.77467204255834</v>
      </c>
      <c r="L103" s="35">
        <f t="shared" si="16"/>
        <v>0.15043721713582636</v>
      </c>
      <c r="M103" s="35" t="str">
        <f t="shared" si="17"/>
        <v/>
      </c>
      <c r="O103" s="29">
        <f t="shared" si="18"/>
        <v>863.77467203841195</v>
      </c>
      <c r="P103" s="52">
        <f t="shared" si="19"/>
        <v>974.14329449261982</v>
      </c>
      <c r="Q103" s="35">
        <f t="shared" si="14"/>
        <v>-0.11329813907069297</v>
      </c>
      <c r="R103" s="84"/>
      <c r="S103" s="82">
        <v>2.5000000000000001E-3</v>
      </c>
      <c r="T103" s="34">
        <f t="shared" si="20"/>
        <v>0.15043721713582636</v>
      </c>
      <c r="U103" s="34">
        <f t="shared" si="21"/>
        <v>0.14793721713582636</v>
      </c>
      <c r="W103" s="35">
        <f t="shared" si="15"/>
        <v>2.5000000000000001E-3</v>
      </c>
      <c r="X103" s="34">
        <f t="shared" si="15"/>
        <v>0.15043721713582636</v>
      </c>
      <c r="Y103" s="35">
        <f t="shared" si="22"/>
        <v>1.6796623445087852E-2</v>
      </c>
      <c r="Z103" s="34">
        <f t="shared" si="23"/>
        <v>0.1336405936907385</v>
      </c>
    </row>
    <row r="104" spans="1:26" x14ac:dyDescent="0.2">
      <c r="A104" s="26">
        <v>45107</v>
      </c>
      <c r="B104" s="27">
        <v>340.54000854492188</v>
      </c>
      <c r="C104" s="28">
        <v>7432000</v>
      </c>
      <c r="D104" s="27">
        <v>423.01998901367188</v>
      </c>
      <c r="E104" s="28">
        <v>2470000</v>
      </c>
      <c r="F104" s="27">
        <v>120.97000122070312</v>
      </c>
      <c r="G104" s="28">
        <v>5819000</v>
      </c>
      <c r="H104" s="27">
        <v>261.76998901367188</v>
      </c>
      <c r="I104" s="28">
        <v>3174000</v>
      </c>
      <c r="J104" s="29">
        <f t="shared" si="12"/>
        <v>5110535098.6022949</v>
      </c>
      <c r="K104" s="30">
        <f t="shared" si="13"/>
        <v>929.87102063875125</v>
      </c>
      <c r="L104" s="35">
        <f t="shared" si="16"/>
        <v>7.6520359690445128E-2</v>
      </c>
      <c r="M104" s="35" t="str">
        <f t="shared" si="17"/>
        <v/>
      </c>
      <c r="O104" s="29">
        <f t="shared" si="18"/>
        <v>929.87102063428756</v>
      </c>
      <c r="P104" s="52">
        <f t="shared" si="19"/>
        <v>974.14329449261982</v>
      </c>
      <c r="Q104" s="35">
        <f t="shared" si="14"/>
        <v>-4.5447393734195263E-2</v>
      </c>
      <c r="R104" s="84"/>
      <c r="S104" s="82">
        <v>6.4699999999999994E-2</v>
      </c>
      <c r="T104" s="34">
        <f t="shared" si="20"/>
        <v>7.6520359690445128E-2</v>
      </c>
      <c r="U104" s="34">
        <f t="shared" si="21"/>
        <v>1.1820359690445134E-2</v>
      </c>
      <c r="W104" s="35">
        <f t="shared" si="15"/>
        <v>6.4699999999999994E-2</v>
      </c>
      <c r="X104" s="34">
        <f t="shared" si="15"/>
        <v>7.6520359690445128E-2</v>
      </c>
      <c r="Y104" s="35">
        <f t="shared" si="22"/>
        <v>9.0834826966705723E-2</v>
      </c>
      <c r="Z104" s="34">
        <f t="shared" si="23"/>
        <v>-1.4314467276260595E-2</v>
      </c>
    </row>
    <row r="105" spans="1:26" x14ac:dyDescent="0.2">
      <c r="A105" s="26">
        <v>45138</v>
      </c>
      <c r="B105" s="27">
        <v>335.92001342773438</v>
      </c>
      <c r="C105" s="28">
        <v>7429764</v>
      </c>
      <c r="D105" s="27">
        <v>467.29000854492188</v>
      </c>
      <c r="E105" s="28">
        <v>2470000</v>
      </c>
      <c r="F105" s="27">
        <v>133.11000061035156</v>
      </c>
      <c r="G105" s="28">
        <v>5801000</v>
      </c>
      <c r="H105" s="27">
        <v>267.42999267578125</v>
      </c>
      <c r="I105" s="28">
        <v>3173994</v>
      </c>
      <c r="J105" s="29">
        <f t="shared" si="12"/>
        <v>5271005049.4644775</v>
      </c>
      <c r="K105" s="30">
        <f t="shared" si="13"/>
        <v>959.06881580326899</v>
      </c>
      <c r="L105" s="35">
        <f t="shared" si="16"/>
        <v>3.1399833435459712E-2</v>
      </c>
      <c r="M105" s="35" t="str">
        <f t="shared" si="17"/>
        <v/>
      </c>
      <c r="O105" s="29">
        <f t="shared" si="18"/>
        <v>959.06881579866513</v>
      </c>
      <c r="P105" s="52">
        <f t="shared" si="19"/>
        <v>974.14329449261982</v>
      </c>
      <c r="Q105" s="35">
        <f t="shared" si="14"/>
        <v>-1.5474600892065093E-2</v>
      </c>
      <c r="R105" s="84"/>
      <c r="S105" s="82">
        <v>3.1099999999999999E-2</v>
      </c>
      <c r="T105" s="34">
        <f t="shared" si="20"/>
        <v>3.1399833435459712E-2</v>
      </c>
      <c r="U105" s="34">
        <f t="shared" si="21"/>
        <v>2.9983343545971278E-4</v>
      </c>
      <c r="W105" s="35">
        <f t="shared" si="15"/>
        <v>3.1099999999999999E-2</v>
      </c>
      <c r="X105" s="34">
        <f t="shared" si="15"/>
        <v>3.1399833435459712E-2</v>
      </c>
      <c r="Y105" s="35">
        <f t="shared" si="22"/>
        <v>5.0839913167246557E-2</v>
      </c>
      <c r="Z105" s="34">
        <f t="shared" si="23"/>
        <v>-1.9440079731786845E-2</v>
      </c>
    </row>
    <row r="106" spans="1:26" x14ac:dyDescent="0.2">
      <c r="A106" s="26">
        <v>45169</v>
      </c>
      <c r="B106" s="27">
        <v>327.760009765625</v>
      </c>
      <c r="C106" s="28">
        <v>7429764</v>
      </c>
      <c r="D106" s="27">
        <v>493.54998779296875</v>
      </c>
      <c r="E106" s="28">
        <v>2470000</v>
      </c>
      <c r="F106" s="27">
        <v>137.35000610351562</v>
      </c>
      <c r="G106" s="28">
        <v>5801000</v>
      </c>
      <c r="H106" s="27">
        <v>258.07998657226562</v>
      </c>
      <c r="I106" s="28">
        <v>3173994</v>
      </c>
      <c r="J106" s="29">
        <f t="shared" si="12"/>
        <v>5270159705.3518677</v>
      </c>
      <c r="K106" s="30">
        <f t="shared" si="13"/>
        <v>958.91500392689647</v>
      </c>
      <c r="L106" s="35">
        <f t="shared" si="16"/>
        <v>-1.603762668934694E-4</v>
      </c>
      <c r="M106" s="35">
        <f t="shared" si="17"/>
        <v>-1.603762668934694E-4</v>
      </c>
      <c r="O106" s="29">
        <f t="shared" si="18"/>
        <v>958.91500392229341</v>
      </c>
      <c r="P106" s="52">
        <f t="shared" si="19"/>
        <v>974.14329449261982</v>
      </c>
      <c r="Q106" s="35">
        <f t="shared" si="14"/>
        <v>-1.5632495400235813E-2</v>
      </c>
      <c r="R106" s="84"/>
      <c r="S106" s="82">
        <v>-1.77E-2</v>
      </c>
      <c r="T106" s="34">
        <f t="shared" si="20"/>
        <v>-1.603762668934694E-4</v>
      </c>
      <c r="U106" s="34">
        <f t="shared" si="21"/>
        <v>1.7539623733106531E-2</v>
      </c>
      <c r="W106" s="35">
        <f t="shared" si="15"/>
        <v>-1.77E-2</v>
      </c>
      <c r="X106" s="34">
        <f t="shared" si="15"/>
        <v>-1.603762668934694E-4</v>
      </c>
      <c r="Y106" s="35">
        <f t="shared" si="22"/>
        <v>-7.2479378272060652E-3</v>
      </c>
      <c r="Z106" s="34">
        <f t="shared" si="23"/>
        <v>7.0875615603125958E-3</v>
      </c>
    </row>
    <row r="107" spans="1:26" x14ac:dyDescent="0.2">
      <c r="A107" s="26">
        <v>45198</v>
      </c>
      <c r="B107" s="27">
        <v>315.75</v>
      </c>
      <c r="C107" s="28">
        <v>7429031</v>
      </c>
      <c r="D107" s="27">
        <v>434.989990234375</v>
      </c>
      <c r="E107" s="28">
        <v>2470000</v>
      </c>
      <c r="F107" s="27">
        <v>131.85000610351562</v>
      </c>
      <c r="G107" s="28">
        <v>5745000</v>
      </c>
      <c r="H107" s="27">
        <v>250.22000122070312</v>
      </c>
      <c r="I107" s="28">
        <v>3179000</v>
      </c>
      <c r="J107" s="29">
        <f t="shared" si="12"/>
        <v>4973069483.0742188</v>
      </c>
      <c r="K107" s="30">
        <f t="shared" si="13"/>
        <v>904.85890551820626</v>
      </c>
      <c r="L107" s="35">
        <f t="shared" si="16"/>
        <v>-5.6372147883099744E-2</v>
      </c>
      <c r="M107" s="35">
        <f t="shared" si="17"/>
        <v>-5.6372147883099744E-2</v>
      </c>
      <c r="O107" s="29">
        <f t="shared" si="18"/>
        <v>904.85890551386274</v>
      </c>
      <c r="P107" s="52">
        <f t="shared" si="19"/>
        <v>974.14329449261982</v>
      </c>
      <c r="Q107" s="35">
        <f t="shared" si="14"/>
        <v>-7.1123405940851536E-2</v>
      </c>
      <c r="R107" s="84"/>
      <c r="S107" s="82">
        <v>-4.87E-2</v>
      </c>
      <c r="T107" s="34">
        <f t="shared" si="20"/>
        <v>-5.6372147883099744E-2</v>
      </c>
      <c r="U107" s="34">
        <f t="shared" si="21"/>
        <v>-7.6721478830997433E-3</v>
      </c>
      <c r="W107" s="35">
        <f t="shared" si="15"/>
        <v>-4.87E-2</v>
      </c>
      <c r="X107" s="34">
        <f t="shared" si="15"/>
        <v>-5.6372147883099744E-2</v>
      </c>
      <c r="Y107" s="35">
        <f t="shared" si="22"/>
        <v>-4.4148007106468996E-2</v>
      </c>
      <c r="Z107" s="34">
        <f t="shared" si="23"/>
        <v>-1.2224140776630747E-2</v>
      </c>
    </row>
    <row r="108" spans="1:26" x14ac:dyDescent="0.2">
      <c r="A108" s="26">
        <v>45230</v>
      </c>
      <c r="B108" s="27">
        <v>338.1099853515625</v>
      </c>
      <c r="C108" s="28">
        <v>7432262</v>
      </c>
      <c r="D108" s="27">
        <v>407.79998779296875</v>
      </c>
      <c r="E108" s="28">
        <v>2466000</v>
      </c>
      <c r="F108" s="27">
        <v>125.30000305175781</v>
      </c>
      <c r="G108" s="28">
        <v>5725000</v>
      </c>
      <c r="H108" s="27">
        <v>200.83999633789062</v>
      </c>
      <c r="I108" s="28">
        <v>3178921</v>
      </c>
      <c r="J108" s="29">
        <f t="shared" si="12"/>
        <v>4874353765.3161926</v>
      </c>
      <c r="K108" s="30">
        <f t="shared" si="13"/>
        <v>886.89740374712017</v>
      </c>
      <c r="L108" s="35">
        <f t="shared" si="16"/>
        <v>-1.9850058016282257E-2</v>
      </c>
      <c r="M108" s="35">
        <f t="shared" si="17"/>
        <v>-1.9850058016282257E-2</v>
      </c>
      <c r="O108" s="29">
        <f t="shared" si="18"/>
        <v>886.89740374286293</v>
      </c>
      <c r="P108" s="52">
        <f t="shared" si="19"/>
        <v>974.14329449261982</v>
      </c>
      <c r="Q108" s="35">
        <f t="shared" si="14"/>
        <v>-8.9561660222892248E-2</v>
      </c>
      <c r="R108" s="84"/>
      <c r="S108" s="82">
        <v>-2.1999999999999999E-2</v>
      </c>
      <c r="T108" s="34">
        <f t="shared" si="20"/>
        <v>-1.9850058016282257E-2</v>
      </c>
      <c r="U108" s="34">
        <f t="shared" si="21"/>
        <v>2.1499419837177416E-3</v>
      </c>
      <c r="W108" s="35">
        <f t="shared" si="15"/>
        <v>-2.1999999999999999E-2</v>
      </c>
      <c r="X108" s="34">
        <f t="shared" si="15"/>
        <v>-1.9850058016282257E-2</v>
      </c>
      <c r="Y108" s="35">
        <f t="shared" si="22"/>
        <v>-1.236633453368447E-2</v>
      </c>
      <c r="Z108" s="34">
        <f t="shared" si="23"/>
        <v>-7.4837234825977875E-3</v>
      </c>
    </row>
    <row r="109" spans="1:26" x14ac:dyDescent="0.2">
      <c r="A109" s="26">
        <v>45260</v>
      </c>
      <c r="B109" s="27">
        <v>378.91000366210938</v>
      </c>
      <c r="C109" s="28">
        <v>7432262</v>
      </c>
      <c r="D109" s="27">
        <v>467.70001220703125</v>
      </c>
      <c r="E109" s="28">
        <v>2470000</v>
      </c>
      <c r="F109" s="27">
        <v>133.91999816894531</v>
      </c>
      <c r="G109" s="28">
        <v>5725000</v>
      </c>
      <c r="H109" s="27">
        <v>240.08000183105469</v>
      </c>
      <c r="I109" s="28">
        <v>3178921</v>
      </c>
      <c r="J109" s="29">
        <f t="shared" si="12"/>
        <v>5501264800.8071136</v>
      </c>
      <c r="K109" s="30">
        <f t="shared" si="13"/>
        <v>1000.964990247225</v>
      </c>
      <c r="L109" s="35">
        <f t="shared" si="16"/>
        <v>0.1286141847052118</v>
      </c>
      <c r="M109" s="35" t="str">
        <f t="shared" si="17"/>
        <v/>
      </c>
      <c r="O109" s="29">
        <f t="shared" si="18"/>
        <v>1000.9649902424203</v>
      </c>
      <c r="P109" s="52">
        <f t="shared" si="19"/>
        <v>1000.9649902424203</v>
      </c>
      <c r="Q109" s="35">
        <f t="shared" si="14"/>
        <v>0</v>
      </c>
      <c r="R109" s="84"/>
      <c r="S109" s="82">
        <v>8.9200000000000002E-2</v>
      </c>
      <c r="T109" s="34">
        <f t="shared" si="20"/>
        <v>0.1286141847052118</v>
      </c>
      <c r="U109" s="34">
        <f t="shared" si="21"/>
        <v>3.9414184705211797E-2</v>
      </c>
      <c r="W109" s="35">
        <f t="shared" si="15"/>
        <v>8.9200000000000002E-2</v>
      </c>
      <c r="X109" s="34">
        <f t="shared" si="15"/>
        <v>0.1286141847052118</v>
      </c>
      <c r="Y109" s="35">
        <f t="shared" si="22"/>
        <v>0.11999778494547805</v>
      </c>
      <c r="Z109" s="34">
        <f t="shared" si="23"/>
        <v>8.6163997597337449E-3</v>
      </c>
    </row>
    <row r="110" spans="1:26" x14ac:dyDescent="0.2">
      <c r="A110" s="26">
        <v>45289</v>
      </c>
      <c r="B110" s="27">
        <v>376.04000854492188</v>
      </c>
      <c r="C110" s="28">
        <v>7432262</v>
      </c>
      <c r="D110" s="27">
        <v>495.22000122070312</v>
      </c>
      <c r="E110" s="28">
        <v>2470000</v>
      </c>
      <c r="F110" s="27">
        <v>140.92999267578125</v>
      </c>
      <c r="G110" s="28">
        <v>5691000</v>
      </c>
      <c r="H110" s="27">
        <v>248.47999572753906</v>
      </c>
      <c r="I110" s="28">
        <v>3185000</v>
      </c>
      <c r="J110" s="29">
        <f t="shared" si="12"/>
        <v>5611462643.7133179</v>
      </c>
      <c r="K110" s="30">
        <f t="shared" si="13"/>
        <v>1021.0156852680666</v>
      </c>
      <c r="L110" s="35">
        <f t="shared" si="16"/>
        <v>2.0031364949027131E-2</v>
      </c>
      <c r="M110" s="35" t="str">
        <f t="shared" si="17"/>
        <v/>
      </c>
      <c r="O110" s="29">
        <f t="shared" si="18"/>
        <v>1021.0156852631656</v>
      </c>
      <c r="P110" s="52">
        <f t="shared" si="19"/>
        <v>1021.0156852631656</v>
      </c>
      <c r="Q110" s="35">
        <f t="shared" si="14"/>
        <v>0</v>
      </c>
      <c r="R110" s="84"/>
      <c r="S110" s="82">
        <v>4.4200000000000003E-2</v>
      </c>
      <c r="T110" s="34">
        <f t="shared" si="20"/>
        <v>2.0031364949027131E-2</v>
      </c>
      <c r="U110" s="34">
        <f t="shared" si="21"/>
        <v>-2.4168635050972873E-2</v>
      </c>
      <c r="W110" s="35">
        <f t="shared" si="15"/>
        <v>4.4200000000000003E-2</v>
      </c>
      <c r="X110" s="34">
        <f t="shared" si="15"/>
        <v>2.0031364949027131E-2</v>
      </c>
      <c r="Y110" s="35">
        <f t="shared" si="22"/>
        <v>6.64331682497738E-2</v>
      </c>
      <c r="Z110" s="34">
        <f t="shared" si="23"/>
        <v>-4.6401803300746669E-2</v>
      </c>
    </row>
    <row r="111" spans="1:26" x14ac:dyDescent="0.2">
      <c r="A111" s="26">
        <v>45322</v>
      </c>
      <c r="B111" s="27">
        <v>397.57998657226562</v>
      </c>
      <c r="C111" s="28">
        <v>7430436</v>
      </c>
      <c r="D111" s="27">
        <v>615.27001953125</v>
      </c>
      <c r="E111" s="28">
        <v>2464000</v>
      </c>
      <c r="F111" s="27">
        <v>141.80000305175781</v>
      </c>
      <c r="G111" s="28">
        <v>5671000</v>
      </c>
      <c r="H111" s="27">
        <v>187.28999328613281</v>
      </c>
      <c r="I111" s="28">
        <v>3184790</v>
      </c>
      <c r="J111" s="29">
        <f t="shared" si="12"/>
        <v>5870845088.2553406</v>
      </c>
      <c r="K111" s="30">
        <f t="shared" si="13"/>
        <v>1068.2107859353196</v>
      </c>
      <c r="L111" s="35">
        <f t="shared" si="16"/>
        <v>4.622367839027075E-2</v>
      </c>
      <c r="M111" s="35" t="str">
        <f t="shared" si="17"/>
        <v/>
      </c>
      <c r="O111" s="29">
        <f t="shared" si="18"/>
        <v>1068.2107859301921</v>
      </c>
      <c r="P111" s="52">
        <f t="shared" si="19"/>
        <v>1068.2107859301921</v>
      </c>
      <c r="Q111" s="35">
        <f t="shared" si="14"/>
        <v>0</v>
      </c>
      <c r="R111" s="84"/>
      <c r="S111" s="82">
        <v>1.5900000000000001E-2</v>
      </c>
      <c r="T111" s="34">
        <f t="shared" si="20"/>
        <v>4.622367839027075E-2</v>
      </c>
      <c r="U111" s="34">
        <f t="shared" si="21"/>
        <v>3.0323678390270749E-2</v>
      </c>
      <c r="W111" s="35">
        <f t="shared" si="15"/>
        <v>1.5900000000000001E-2</v>
      </c>
      <c r="X111" s="34">
        <f t="shared" si="15"/>
        <v>4.622367839027075E-2</v>
      </c>
      <c r="Y111" s="35">
        <f t="shared" si="22"/>
        <v>3.2746975972253123E-2</v>
      </c>
      <c r="Z111" s="34">
        <f t="shared" si="23"/>
        <v>1.3476702418017628E-2</v>
      </c>
    </row>
    <row r="112" spans="1:26" x14ac:dyDescent="0.2">
      <c r="A112" s="26">
        <v>45351</v>
      </c>
      <c r="B112" s="27">
        <v>413.6400146484375</v>
      </c>
      <c r="C112" s="28">
        <v>7430436</v>
      </c>
      <c r="D112" s="27">
        <v>791.1199951171875</v>
      </c>
      <c r="E112" s="28">
        <v>2500000</v>
      </c>
      <c r="F112" s="27">
        <v>139.77999877929688</v>
      </c>
      <c r="G112" s="28">
        <v>5671000</v>
      </c>
      <c r="H112" s="27">
        <v>201.8800048828125</v>
      </c>
      <c r="I112" s="28">
        <v>3184790</v>
      </c>
      <c r="J112" s="29">
        <f t="shared" si="12"/>
        <v>6486963437.5053711</v>
      </c>
      <c r="K112" s="30">
        <f t="shared" si="13"/>
        <v>1180.3146238305092</v>
      </c>
      <c r="L112" s="35">
        <f t="shared" si="16"/>
        <v>0.10494542778561455</v>
      </c>
      <c r="M112" s="35" t="str">
        <f t="shared" si="17"/>
        <v/>
      </c>
      <c r="O112" s="29">
        <f t="shared" si="18"/>
        <v>1180.3146238248437</v>
      </c>
      <c r="P112" s="52">
        <f t="shared" si="19"/>
        <v>1180.3146238248437</v>
      </c>
      <c r="Q112" s="35">
        <f t="shared" si="14"/>
        <v>0</v>
      </c>
      <c r="R112" s="84"/>
      <c r="S112" s="82">
        <v>5.1700000000000003E-2</v>
      </c>
      <c r="T112" s="34">
        <f t="shared" si="20"/>
        <v>0.10494542778561455</v>
      </c>
      <c r="U112" s="34">
        <f t="shared" si="21"/>
        <v>5.3245427785614551E-2</v>
      </c>
      <c r="W112" s="35">
        <f t="shared" si="15"/>
        <v>5.1700000000000003E-2</v>
      </c>
      <c r="X112" s="34">
        <f t="shared" si="15"/>
        <v>0.10494542778561455</v>
      </c>
      <c r="Y112" s="35">
        <f t="shared" si="22"/>
        <v>7.5360604365724518E-2</v>
      </c>
      <c r="Z112" s="34">
        <f t="shared" si="23"/>
        <v>2.9584823419890036E-2</v>
      </c>
    </row>
    <row r="113" spans="1:26" x14ac:dyDescent="0.2">
      <c r="A113" s="26">
        <v>45379</v>
      </c>
      <c r="B113" s="27">
        <v>420.72000122070312</v>
      </c>
      <c r="C113" s="28">
        <v>7432306</v>
      </c>
      <c r="D113" s="27">
        <v>903.55999755859375</v>
      </c>
      <c r="E113" s="28">
        <v>2463727</v>
      </c>
      <c r="F113" s="27">
        <v>152.25999450683594</v>
      </c>
      <c r="G113" s="28">
        <v>5635000</v>
      </c>
      <c r="H113" s="27">
        <v>175.78999328613281</v>
      </c>
      <c r="I113" s="28">
        <v>3188966</v>
      </c>
      <c r="J113" s="29">
        <f t="shared" si="12"/>
        <v>6771618332.273407</v>
      </c>
      <c r="K113" s="30">
        <f t="shared" si="13"/>
        <v>1232.1080921113869</v>
      </c>
      <c r="L113" s="35">
        <f t="shared" si="16"/>
        <v>4.3881069703932685E-2</v>
      </c>
      <c r="M113" s="35" t="str">
        <f t="shared" si="17"/>
        <v/>
      </c>
      <c r="O113" s="29">
        <f t="shared" si="18"/>
        <v>1232.1080921054727</v>
      </c>
      <c r="P113" s="52">
        <f t="shared" si="19"/>
        <v>1232.1080921054727</v>
      </c>
      <c r="Q113" s="35">
        <f t="shared" si="14"/>
        <v>0</v>
      </c>
      <c r="R113" s="84"/>
      <c r="S113" s="82">
        <v>3.1E-2</v>
      </c>
      <c r="T113" s="34">
        <f t="shared" si="20"/>
        <v>4.3881069703932685E-2</v>
      </c>
      <c r="U113" s="34">
        <f t="shared" si="21"/>
        <v>1.2881069703932685E-2</v>
      </c>
      <c r="W113" s="35">
        <f t="shared" si="15"/>
        <v>3.1E-2</v>
      </c>
      <c r="X113" s="34">
        <f t="shared" si="15"/>
        <v>4.3881069703932685E-2</v>
      </c>
      <c r="Y113" s="35">
        <f t="shared" si="22"/>
        <v>5.0720880685700548E-2</v>
      </c>
      <c r="Z113" s="34">
        <f t="shared" si="23"/>
        <v>-6.8398109817678632E-3</v>
      </c>
    </row>
    <row r="114" spans="1:26" x14ac:dyDescent="0.2">
      <c r="A114" s="26">
        <v>45412</v>
      </c>
      <c r="B114" s="27">
        <v>389.32998657226562</v>
      </c>
      <c r="C114" s="28">
        <v>7432306</v>
      </c>
      <c r="D114" s="27">
        <v>864.02001953125</v>
      </c>
      <c r="E114" s="28">
        <v>2459834</v>
      </c>
      <c r="F114" s="27">
        <v>164.63999938964844</v>
      </c>
      <c r="G114" s="28">
        <v>5617000</v>
      </c>
      <c r="H114" s="27">
        <v>183.27999877929688</v>
      </c>
      <c r="I114" s="28">
        <v>3189196</v>
      </c>
      <c r="J114" s="29">
        <f t="shared" si="12"/>
        <v>6528264131.4631958</v>
      </c>
      <c r="K114" s="30">
        <f t="shared" si="13"/>
        <v>1187.8293591180438</v>
      </c>
      <c r="L114" s="35">
        <f t="shared" si="16"/>
        <v>-3.5937376985703651E-2</v>
      </c>
      <c r="M114" s="35">
        <f t="shared" si="17"/>
        <v>-3.5937376985703651E-2</v>
      </c>
      <c r="O114" s="29">
        <f t="shared" si="18"/>
        <v>1187.8293591123422</v>
      </c>
      <c r="P114" s="52">
        <f t="shared" si="19"/>
        <v>1232.1080921054727</v>
      </c>
      <c r="Q114" s="35">
        <f t="shared" si="14"/>
        <v>-3.5937376985703651E-2</v>
      </c>
      <c r="R114" s="84"/>
      <c r="S114" s="82">
        <v>-4.1599999999999998E-2</v>
      </c>
      <c r="T114" s="34">
        <f t="shared" si="20"/>
        <v>-3.5937376985703651E-2</v>
      </c>
      <c r="U114" s="34">
        <f t="shared" si="21"/>
        <v>5.6626230142963474E-3</v>
      </c>
      <c r="W114" s="35">
        <f t="shared" si="15"/>
        <v>-4.1599999999999998E-2</v>
      </c>
      <c r="X114" s="34">
        <f t="shared" si="15"/>
        <v>-3.5937376985703651E-2</v>
      </c>
      <c r="Y114" s="35">
        <f t="shared" si="22"/>
        <v>-3.5696700916702323E-2</v>
      </c>
      <c r="Z114" s="34">
        <f t="shared" si="23"/>
        <v>-2.4067606900132765E-4</v>
      </c>
    </row>
    <row r="115" spans="1:26" x14ac:dyDescent="0.2">
      <c r="A115" s="26">
        <v>45443</v>
      </c>
      <c r="B115" s="27">
        <v>415.1300048828125</v>
      </c>
      <c r="C115" s="28">
        <v>7432306</v>
      </c>
      <c r="D115" s="27">
        <v>1096.3299560546875</v>
      </c>
      <c r="E115" s="28">
        <v>2459834</v>
      </c>
      <c r="F115" s="27">
        <v>173.96000671386719</v>
      </c>
      <c r="G115" s="28">
        <v>5617000</v>
      </c>
      <c r="H115" s="27">
        <v>178.08000183105469</v>
      </c>
      <c r="I115" s="28">
        <v>3189196</v>
      </c>
      <c r="J115" s="29">
        <f t="shared" si="12"/>
        <v>7327228314.4237671</v>
      </c>
      <c r="K115" s="30">
        <f t="shared" si="13"/>
        <v>1333.2023241655868</v>
      </c>
      <c r="L115" s="35">
        <f t="shared" si="16"/>
        <v>0.12238539478051091</v>
      </c>
      <c r="M115" s="35" t="str">
        <f t="shared" si="17"/>
        <v/>
      </c>
      <c r="O115" s="29">
        <f t="shared" si="18"/>
        <v>1333.2023241591876</v>
      </c>
      <c r="P115" s="52">
        <f t="shared" si="19"/>
        <v>1333.2023241591876</v>
      </c>
      <c r="Q115" s="35">
        <f t="shared" si="14"/>
        <v>0</v>
      </c>
      <c r="R115" s="84"/>
      <c r="S115" s="82">
        <v>4.8000000000000001E-2</v>
      </c>
      <c r="T115" s="34">
        <f t="shared" si="20"/>
        <v>0.12238539478051091</v>
      </c>
      <c r="U115" s="34">
        <f t="shared" si="21"/>
        <v>7.4385394780510913E-2</v>
      </c>
      <c r="W115" s="35">
        <f t="shared" si="15"/>
        <v>4.8000000000000001E-2</v>
      </c>
      <c r="X115" s="34">
        <f t="shared" si="15"/>
        <v>0.12238539478051091</v>
      </c>
      <c r="Y115" s="35">
        <f t="shared" si="22"/>
        <v>7.095640254852216E-2</v>
      </c>
      <c r="Z115" s="34">
        <f t="shared" si="23"/>
        <v>5.1428992231988754E-2</v>
      </c>
    </row>
    <row r="116" spans="1:26" x14ac:dyDescent="0.2">
      <c r="A116" s="26">
        <v>45471</v>
      </c>
      <c r="B116" s="27">
        <v>446.95001220703125</v>
      </c>
      <c r="C116" s="28">
        <v>7434000</v>
      </c>
      <c r="D116" s="27">
        <v>123.54000091552734</v>
      </c>
      <c r="E116" s="28">
        <v>24568840</v>
      </c>
      <c r="F116" s="27">
        <v>183.41999816894531</v>
      </c>
      <c r="G116" s="28">
        <v>5596000</v>
      </c>
      <c r="H116" s="27">
        <v>197.8800048828125</v>
      </c>
      <c r="I116" s="28">
        <v>3194640</v>
      </c>
      <c r="J116" s="29">
        <f t="shared" si="12"/>
        <v>8016434595.3927612</v>
      </c>
      <c r="K116" s="30">
        <f t="shared" si="13"/>
        <v>1458.6046422301965</v>
      </c>
      <c r="L116" s="35">
        <f t="shared" si="16"/>
        <v>9.4060980686555107E-2</v>
      </c>
      <c r="M116" s="35" t="str">
        <f t="shared" si="17"/>
        <v/>
      </c>
      <c r="O116" s="29">
        <f t="shared" si="18"/>
        <v>1458.6046422231952</v>
      </c>
      <c r="P116" s="52">
        <f t="shared" si="19"/>
        <v>1458.6046422231952</v>
      </c>
      <c r="Q116" s="35">
        <f t="shared" si="14"/>
        <v>0</v>
      </c>
      <c r="R116" s="84"/>
      <c r="S116" s="82">
        <v>3.4700000000000002E-2</v>
      </c>
      <c r="T116" s="34">
        <f t="shared" si="20"/>
        <v>9.4060980686555107E-2</v>
      </c>
      <c r="U116" s="34">
        <f t="shared" si="21"/>
        <v>5.9360980686555105E-2</v>
      </c>
      <c r="W116" s="35">
        <f t="shared" si="15"/>
        <v>3.4700000000000002E-2</v>
      </c>
      <c r="X116" s="34">
        <f t="shared" si="15"/>
        <v>9.4060980686555107E-2</v>
      </c>
      <c r="Y116" s="35">
        <f t="shared" si="22"/>
        <v>5.5125082502902906E-2</v>
      </c>
      <c r="Z116" s="34">
        <f t="shared" si="23"/>
        <v>3.8935898183652201E-2</v>
      </c>
    </row>
    <row r="117" spans="1:26" x14ac:dyDescent="0.2">
      <c r="A117" s="26">
        <v>45504</v>
      </c>
      <c r="B117" s="27">
        <v>418.35000610351562</v>
      </c>
      <c r="C117" s="28">
        <v>7433038</v>
      </c>
      <c r="D117" s="27">
        <v>117.01999664306641</v>
      </c>
      <c r="E117" s="28">
        <v>24562000</v>
      </c>
      <c r="F117" s="27">
        <v>173.14999389648438</v>
      </c>
      <c r="G117" s="28">
        <v>5585000</v>
      </c>
      <c r="H117" s="27">
        <v>232.07000732421875</v>
      </c>
      <c r="I117" s="28">
        <v>3194640</v>
      </c>
      <c r="J117" s="29">
        <f t="shared" si="12"/>
        <v>7692279494.3247681</v>
      </c>
      <c r="K117" s="30">
        <f t="shared" si="13"/>
        <v>1399.6240406180893</v>
      </c>
      <c r="L117" s="35">
        <f t="shared" si="16"/>
        <v>-4.043631831715977E-2</v>
      </c>
      <c r="M117" s="35">
        <f t="shared" si="17"/>
        <v>-4.043631831715977E-2</v>
      </c>
      <c r="O117" s="29">
        <f t="shared" si="18"/>
        <v>1399.6240406113711</v>
      </c>
      <c r="P117" s="52">
        <f t="shared" si="19"/>
        <v>1458.6046422231952</v>
      </c>
      <c r="Q117" s="35">
        <f t="shared" si="14"/>
        <v>-4.043631831715977E-2</v>
      </c>
      <c r="R117" s="84"/>
      <c r="S117" s="82">
        <v>1.1299999999999999E-2</v>
      </c>
      <c r="T117" s="34">
        <f t="shared" si="20"/>
        <v>-4.043631831715977E-2</v>
      </c>
      <c r="U117" s="34">
        <f t="shared" si="21"/>
        <v>-5.1736318317159767E-2</v>
      </c>
      <c r="W117" s="35">
        <f t="shared" si="15"/>
        <v>1.1299999999999999E-2</v>
      </c>
      <c r="X117" s="34">
        <f t="shared" si="15"/>
        <v>-4.043631831715977E-2</v>
      </c>
      <c r="Y117" s="35">
        <f t="shared" si="22"/>
        <v>2.7271481821136683E-2</v>
      </c>
      <c r="Z117" s="34">
        <f t="shared" si="23"/>
        <v>-6.7707800138296456E-2</v>
      </c>
    </row>
    <row r="118" spans="1:26" x14ac:dyDescent="0.2">
      <c r="A118" s="26">
        <v>45534</v>
      </c>
      <c r="B118" s="27">
        <v>417.1400146484375</v>
      </c>
      <c r="C118" s="28">
        <v>7433038</v>
      </c>
      <c r="D118" s="27">
        <v>119.37000274658203</v>
      </c>
      <c r="E118" s="28">
        <v>24530000</v>
      </c>
      <c r="F118" s="27">
        <v>165.11000061035156</v>
      </c>
      <c r="G118" s="28">
        <v>5585000</v>
      </c>
      <c r="H118" s="27">
        <v>214.11000061035156</v>
      </c>
      <c r="I118" s="28">
        <v>3194640</v>
      </c>
      <c r="J118" s="29">
        <f t="shared" si="12"/>
        <v>7634907473.3347168</v>
      </c>
      <c r="K118" s="30">
        <f t="shared" si="13"/>
        <v>1389.1850985729172</v>
      </c>
      <c r="L118" s="35">
        <f t="shared" si="16"/>
        <v>-7.4583900692090088E-3</v>
      </c>
      <c r="M118" s="35">
        <f t="shared" si="17"/>
        <v>-7.4583900692090088E-3</v>
      </c>
      <c r="O118" s="29">
        <f t="shared" si="18"/>
        <v>1389.1850985662491</v>
      </c>
      <c r="P118" s="52">
        <f t="shared" si="19"/>
        <v>1458.6046422231952</v>
      </c>
      <c r="Q118" s="35">
        <f t="shared" si="14"/>
        <v>-4.7593118551396807E-2</v>
      </c>
      <c r="R118" s="84"/>
      <c r="S118" s="82">
        <v>2.2800000000000001E-2</v>
      </c>
      <c r="T118" s="34">
        <f t="shared" si="20"/>
        <v>-7.4583900692090088E-3</v>
      </c>
      <c r="U118" s="34">
        <f t="shared" si="21"/>
        <v>-3.025839006920901E-2</v>
      </c>
      <c r="W118" s="35">
        <f t="shared" si="15"/>
        <v>2.2800000000000001E-2</v>
      </c>
      <c r="X118" s="34">
        <f t="shared" si="15"/>
        <v>-7.4583900692090088E-3</v>
      </c>
      <c r="Y118" s="35">
        <f t="shared" si="22"/>
        <v>4.0960217198927777E-2</v>
      </c>
      <c r="Z118" s="34">
        <f t="shared" si="23"/>
        <v>-4.8418607268136786E-2</v>
      </c>
    </row>
    <row r="119" spans="1:26" x14ac:dyDescent="0.2">
      <c r="A119" s="26">
        <v>45565</v>
      </c>
      <c r="B119" s="27">
        <v>430.29998779296875</v>
      </c>
      <c r="C119" s="28">
        <v>7434436</v>
      </c>
      <c r="D119" s="27">
        <v>121.44000244140625</v>
      </c>
      <c r="E119" s="28">
        <v>24530000</v>
      </c>
      <c r="F119" s="27">
        <v>167.19000244140625</v>
      </c>
      <c r="G119" s="28">
        <v>5555000</v>
      </c>
      <c r="H119" s="27">
        <v>261.6300048828125</v>
      </c>
      <c r="I119" s="28">
        <v>3207000</v>
      </c>
      <c r="J119" s="29">
        <f t="shared" si="12"/>
        <v>7945748869.1564941</v>
      </c>
      <c r="K119" s="30">
        <f t="shared" si="13"/>
        <v>1445.7432476537488</v>
      </c>
      <c r="L119" s="35">
        <f t="shared" si="16"/>
        <v>4.0713184397768609E-2</v>
      </c>
      <c r="M119" s="35" t="str">
        <f t="shared" si="17"/>
        <v/>
      </c>
      <c r="O119" s="29">
        <f t="shared" si="18"/>
        <v>1445.7432476468091</v>
      </c>
      <c r="P119" s="52">
        <f t="shared" si="19"/>
        <v>1458.6046422231952</v>
      </c>
      <c r="Q119" s="35">
        <f t="shared" si="14"/>
        <v>-8.8176015652760009E-3</v>
      </c>
      <c r="R119" s="84"/>
      <c r="S119" s="82">
        <v>2.0199999999999999E-2</v>
      </c>
      <c r="T119" s="34">
        <f t="shared" si="20"/>
        <v>4.0713184397768609E-2</v>
      </c>
      <c r="U119" s="34">
        <f t="shared" si="21"/>
        <v>2.051318439776861E-2</v>
      </c>
      <c r="W119" s="35">
        <f t="shared" si="15"/>
        <v>2.0199999999999999E-2</v>
      </c>
      <c r="X119" s="34">
        <f t="shared" si="15"/>
        <v>4.0713184397768609E-2</v>
      </c>
      <c r="Y119" s="35">
        <f t="shared" si="22"/>
        <v>3.7865372678731524E-2</v>
      </c>
      <c r="Z119" s="34">
        <f t="shared" si="23"/>
        <v>2.8478117190370855E-3</v>
      </c>
    </row>
    <row r="120" spans="1:26" x14ac:dyDescent="0.2">
      <c r="A120" s="26">
        <v>45596</v>
      </c>
      <c r="B120" s="27">
        <v>406.35000610351562</v>
      </c>
      <c r="C120" s="28">
        <v>7434881</v>
      </c>
      <c r="D120" s="27">
        <v>132.75999450683594</v>
      </c>
      <c r="E120" s="28">
        <v>24508000</v>
      </c>
      <c r="F120" s="27">
        <v>172.69000244140625</v>
      </c>
      <c r="G120" s="28">
        <v>5534000</v>
      </c>
      <c r="H120" s="27">
        <v>249.85000610351562</v>
      </c>
      <c r="I120" s="28">
        <v>3210060</v>
      </c>
      <c r="J120" s="29">
        <f t="shared" si="12"/>
        <v>8032545869.2058411</v>
      </c>
      <c r="K120" s="30">
        <f t="shared" si="13"/>
        <v>1461.5361173762053</v>
      </c>
      <c r="L120" s="35">
        <f t="shared" si="16"/>
        <v>1.0923702910655919E-2</v>
      </c>
      <c r="M120" s="35" t="str">
        <f t="shared" si="17"/>
        <v/>
      </c>
      <c r="O120" s="29">
        <f t="shared" si="18"/>
        <v>1461.5361173691897</v>
      </c>
      <c r="P120" s="52">
        <f t="shared" si="19"/>
        <v>1461.5361173691897</v>
      </c>
      <c r="Q120" s="35">
        <f t="shared" si="14"/>
        <v>0</v>
      </c>
      <c r="R120" s="84"/>
      <c r="S120" s="82">
        <v>-9.9000000000000008E-3</v>
      </c>
      <c r="T120" s="34">
        <f t="shared" si="20"/>
        <v>1.0923702910655919E-2</v>
      </c>
      <c r="U120" s="34">
        <f t="shared" si="21"/>
        <v>2.0823702910655918E-2</v>
      </c>
      <c r="W120" s="35">
        <f t="shared" si="15"/>
        <v>-9.9000000000000008E-3</v>
      </c>
      <c r="X120" s="34">
        <f t="shared" si="15"/>
        <v>1.0923702910655919E-2</v>
      </c>
      <c r="Y120" s="35">
        <f t="shared" si="22"/>
        <v>2.0365957333826745E-3</v>
      </c>
      <c r="Z120" s="34">
        <f t="shared" si="23"/>
        <v>8.8871071772732447E-3</v>
      </c>
    </row>
    <row r="121" spans="1:26" x14ac:dyDescent="0.2">
      <c r="A121" s="26">
        <v>45625</v>
      </c>
      <c r="B121" s="27">
        <v>423.45999145507812</v>
      </c>
      <c r="C121" s="28">
        <v>7434881</v>
      </c>
      <c r="D121" s="27">
        <v>138.25</v>
      </c>
      <c r="E121" s="28">
        <v>24490000</v>
      </c>
      <c r="F121" s="27">
        <v>170.49000549316406</v>
      </c>
      <c r="G121" s="28">
        <v>5534000</v>
      </c>
      <c r="H121" s="27">
        <v>345.16000366210938</v>
      </c>
      <c r="I121" s="28">
        <v>3210060</v>
      </c>
      <c r="J121" s="29">
        <f t="shared" si="12"/>
        <v>8585593156.4842834</v>
      </c>
      <c r="K121" s="30">
        <f t="shared" si="13"/>
        <v>1562.164062505424</v>
      </c>
      <c r="L121" s="35">
        <f t="shared" si="16"/>
        <v>6.8850809728786544E-2</v>
      </c>
      <c r="M121" s="35" t="str">
        <f t="shared" si="17"/>
        <v/>
      </c>
      <c r="O121" s="29">
        <f t="shared" si="18"/>
        <v>1562.1640624979252</v>
      </c>
      <c r="P121" s="52">
        <f t="shared" si="19"/>
        <v>1562.1640624979252</v>
      </c>
      <c r="Q121" s="35">
        <f t="shared" si="14"/>
        <v>0</v>
      </c>
      <c r="R121" s="84"/>
      <c r="S121" s="82">
        <v>5.7299999999999997E-2</v>
      </c>
      <c r="T121" s="34">
        <f t="shared" si="20"/>
        <v>6.8850809728786544E-2</v>
      </c>
      <c r="U121" s="34">
        <f t="shared" si="21"/>
        <v>1.1550809728786547E-2</v>
      </c>
      <c r="W121" s="35">
        <f t="shared" si="15"/>
        <v>5.7299999999999997E-2</v>
      </c>
      <c r="X121" s="34">
        <f t="shared" si="15"/>
        <v>6.8850809728786544E-2</v>
      </c>
      <c r="Y121" s="35">
        <f t="shared" si="22"/>
        <v>8.2026423332301035E-2</v>
      </c>
      <c r="Z121" s="34">
        <f t="shared" si="23"/>
        <v>-1.3175613603514491E-2</v>
      </c>
    </row>
    <row r="122" spans="1:26" ht="17" thickBot="1" x14ac:dyDescent="0.25">
      <c r="A122" s="38">
        <v>45657</v>
      </c>
      <c r="B122" s="39">
        <v>421.5</v>
      </c>
      <c r="C122" s="41">
        <v>7434881</v>
      </c>
      <c r="D122" s="39">
        <v>134.28999328613281</v>
      </c>
      <c r="E122" s="41">
        <v>24490000</v>
      </c>
      <c r="F122" s="39">
        <v>190.44000244140625</v>
      </c>
      <c r="G122" s="41">
        <v>5534000</v>
      </c>
      <c r="H122" s="39">
        <v>403.83999633789062</v>
      </c>
      <c r="I122" s="41">
        <v>3210060</v>
      </c>
      <c r="J122" s="42">
        <f t="shared" si="12"/>
        <v>8772809869.2325439</v>
      </c>
      <c r="K122" s="43">
        <f t="shared" si="13"/>
        <v>1596.2284789324767</v>
      </c>
      <c r="L122" s="36">
        <f t="shared" si="16"/>
        <v>2.180591478491678E-2</v>
      </c>
      <c r="M122" s="36" t="str">
        <f t="shared" si="17"/>
        <v/>
      </c>
      <c r="O122" s="42">
        <f t="shared" si="18"/>
        <v>1596.2284789248145</v>
      </c>
      <c r="P122" s="53">
        <f t="shared" si="19"/>
        <v>1596.2284789248145</v>
      </c>
      <c r="Q122" s="36">
        <f t="shared" si="14"/>
        <v>0</v>
      </c>
      <c r="R122" s="84"/>
      <c r="S122" s="83">
        <v>-2.5000000000000001E-2</v>
      </c>
      <c r="T122" s="37">
        <f t="shared" si="20"/>
        <v>2.180591478491678E-2</v>
      </c>
      <c r="U122" s="37">
        <f t="shared" si="21"/>
        <v>4.6805914784916781E-2</v>
      </c>
      <c r="W122" s="36">
        <f t="shared" si="15"/>
        <v>-2.5000000000000001E-2</v>
      </c>
      <c r="X122" s="37">
        <f t="shared" si="15"/>
        <v>2.180591478491678E-2</v>
      </c>
      <c r="Y122" s="35">
        <f t="shared" si="22"/>
        <v>-1.5937308980064756E-2</v>
      </c>
      <c r="Z122" s="37">
        <f t="shared" si="23"/>
        <v>3.7743223764981536E-2</v>
      </c>
    </row>
  </sheetData>
  <mergeCells count="40">
    <mergeCell ref="AD18:AE18"/>
    <mergeCell ref="AD19:AE19"/>
    <mergeCell ref="AD12:AE12"/>
    <mergeCell ref="AD13:AE13"/>
    <mergeCell ref="AD14:AE14"/>
    <mergeCell ref="AD15:AE15"/>
    <mergeCell ref="AD16:AE16"/>
    <mergeCell ref="AD8:AE8"/>
    <mergeCell ref="AD9:AE9"/>
    <mergeCell ref="AD10:AE10"/>
    <mergeCell ref="AD11:AE11"/>
    <mergeCell ref="AD17:AE17"/>
    <mergeCell ref="AD3:AE3"/>
    <mergeCell ref="AD4:AE4"/>
    <mergeCell ref="AD5:AE5"/>
    <mergeCell ref="AD6:AE6"/>
    <mergeCell ref="AD7:AE7"/>
    <mergeCell ref="B1:C1"/>
    <mergeCell ref="A1:A2"/>
    <mergeCell ref="K1:K2"/>
    <mergeCell ref="J1:J2"/>
    <mergeCell ref="H1:I1"/>
    <mergeCell ref="F1:G1"/>
    <mergeCell ref="D1:E1"/>
    <mergeCell ref="L1:L2"/>
    <mergeCell ref="AD20:AE20"/>
    <mergeCell ref="M1:M2"/>
    <mergeCell ref="O1:O2"/>
    <mergeCell ref="P1:P2"/>
    <mergeCell ref="Q1:Q2"/>
    <mergeCell ref="S1:S2"/>
    <mergeCell ref="T1:T2"/>
    <mergeCell ref="U1:U2"/>
    <mergeCell ref="W1:W2"/>
    <mergeCell ref="X1:X2"/>
    <mergeCell ref="Y1:Y2"/>
    <mergeCell ref="Z1:Z2"/>
    <mergeCell ref="AA1:AA2"/>
    <mergeCell ref="AB1:AB2"/>
    <mergeCell ref="AD1:AF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33BB-3001-F349-8032-475FF92B6E51}">
  <sheetPr codeName="Sheet2"/>
  <dimension ref="A1:AR244"/>
  <sheetViews>
    <sheetView showGridLines="0" zoomScale="150" zoomScaleNormal="180" workbookViewId="0">
      <pane xSplit="1" ySplit="2" topLeftCell="AE3" activePane="bottomRight" state="frozen"/>
      <selection pane="topRight" activeCell="B1" sqref="B1"/>
      <selection pane="bottomLeft" activeCell="A3" sqref="A3"/>
      <selection pane="bottomRight" activeCell="AJ6" sqref="AJ6"/>
    </sheetView>
  </sheetViews>
  <sheetFormatPr baseColWidth="10" defaultColWidth="12.1640625" defaultRowHeight="16" x14ac:dyDescent="0.2"/>
  <cols>
    <col min="8" max="8" width="12.1640625" customWidth="1"/>
    <col min="10" max="10" width="5" customWidth="1"/>
    <col min="15" max="15" width="5" customWidth="1"/>
    <col min="16" max="17" width="12.1640625" customWidth="1"/>
    <col min="18" max="18" width="5" customWidth="1"/>
    <col min="22" max="22" width="5" customWidth="1"/>
    <col min="23" max="23" width="14.1640625" customWidth="1"/>
    <col min="24" max="25" width="12.1640625" customWidth="1"/>
    <col min="26" max="26" width="5" customWidth="1"/>
    <col min="27" max="27" width="14.1640625" customWidth="1"/>
    <col min="28" max="28" width="11.1640625"/>
    <col min="29" max="29" width="10.1640625" customWidth="1"/>
    <col min="30" max="32" width="11.1640625"/>
    <col min="35" max="35" width="19" customWidth="1"/>
    <col min="36" max="36" width="20.33203125" bestFit="1" customWidth="1"/>
    <col min="41" max="44" width="15.6640625" customWidth="1"/>
  </cols>
  <sheetData>
    <row r="1" spans="1:44" ht="17" customHeight="1" thickBot="1" x14ac:dyDescent="0.25">
      <c r="A1" s="124" t="s">
        <v>2</v>
      </c>
      <c r="B1" s="111" t="s">
        <v>3</v>
      </c>
      <c r="C1" s="112"/>
      <c r="D1" s="111" t="s">
        <v>4</v>
      </c>
      <c r="E1" s="112"/>
      <c r="F1" s="111" t="s">
        <v>5</v>
      </c>
      <c r="G1" s="112"/>
      <c r="H1" s="111" t="s">
        <v>6</v>
      </c>
      <c r="I1" s="112"/>
      <c r="K1" s="111" t="s">
        <v>9</v>
      </c>
      <c r="L1" s="123"/>
      <c r="M1" s="123"/>
      <c r="N1" s="112"/>
      <c r="P1" s="98" t="s">
        <v>27</v>
      </c>
      <c r="Q1" s="96" t="s">
        <v>26</v>
      </c>
      <c r="S1" s="92" t="s">
        <v>28</v>
      </c>
      <c r="T1" s="92" t="s">
        <v>29</v>
      </c>
      <c r="U1" s="92" t="s">
        <v>30</v>
      </c>
      <c r="W1" s="98" t="s">
        <v>25</v>
      </c>
      <c r="X1" s="96" t="s">
        <v>16</v>
      </c>
      <c r="Y1" s="96" t="s">
        <v>31</v>
      </c>
      <c r="AA1" s="99" t="s">
        <v>25</v>
      </c>
      <c r="AB1" s="99" t="s">
        <v>16</v>
      </c>
      <c r="AC1" s="101" t="s">
        <v>39</v>
      </c>
      <c r="AD1" s="101" t="s">
        <v>40</v>
      </c>
      <c r="AE1" s="103" t="s">
        <v>35</v>
      </c>
      <c r="AF1" s="101" t="s">
        <v>41</v>
      </c>
      <c r="AH1" s="105" t="s">
        <v>23</v>
      </c>
      <c r="AI1" s="106"/>
      <c r="AJ1" s="107"/>
    </row>
    <row r="2" spans="1:44" ht="17" thickBot="1" x14ac:dyDescent="0.25">
      <c r="A2" s="125"/>
      <c r="B2" s="31" t="s">
        <v>0</v>
      </c>
      <c r="C2" s="32" t="s">
        <v>9</v>
      </c>
      <c r="D2" s="31" t="s">
        <v>0</v>
      </c>
      <c r="E2" s="32" t="s">
        <v>9</v>
      </c>
      <c r="F2" s="31" t="s">
        <v>0</v>
      </c>
      <c r="G2" s="32" t="s">
        <v>9</v>
      </c>
      <c r="H2" s="31" t="s">
        <v>0</v>
      </c>
      <c r="I2" s="32" t="s">
        <v>9</v>
      </c>
      <c r="K2" s="45" t="s">
        <v>10</v>
      </c>
      <c r="L2" s="45" t="s">
        <v>11</v>
      </c>
      <c r="M2" s="45" t="s">
        <v>12</v>
      </c>
      <c r="N2" s="45" t="s">
        <v>13</v>
      </c>
      <c r="P2" s="97"/>
      <c r="Q2" s="97"/>
      <c r="S2" s="93"/>
      <c r="T2" s="93"/>
      <c r="U2" s="93"/>
      <c r="W2" s="97"/>
      <c r="X2" s="97"/>
      <c r="Y2" s="97"/>
      <c r="AA2" s="100"/>
      <c r="AB2" s="100"/>
      <c r="AC2" s="102"/>
      <c r="AD2" s="102"/>
      <c r="AE2" s="104"/>
      <c r="AF2" s="102"/>
      <c r="AH2" s="108"/>
      <c r="AI2" s="109"/>
      <c r="AJ2" s="110"/>
    </row>
    <row r="3" spans="1:44" ht="17" thickBot="1" x14ac:dyDescent="0.25">
      <c r="A3" s="26">
        <v>42034</v>
      </c>
      <c r="B3" s="27">
        <v>40.400001525878906</v>
      </c>
      <c r="C3" s="28"/>
      <c r="D3" s="27">
        <v>19.204999923706055</v>
      </c>
      <c r="E3" s="28"/>
      <c r="F3" s="27">
        <v>534.52001953125</v>
      </c>
      <c r="G3" s="28"/>
      <c r="H3" s="27">
        <v>203.60000610351562</v>
      </c>
      <c r="I3" s="28"/>
      <c r="K3" s="46"/>
      <c r="L3" s="46"/>
      <c r="M3" s="46"/>
      <c r="N3" s="46"/>
      <c r="P3" s="47"/>
      <c r="Q3" s="48"/>
      <c r="S3" s="49">
        <v>100</v>
      </c>
      <c r="T3" s="51">
        <f>S3</f>
        <v>100</v>
      </c>
      <c r="U3" s="50">
        <f>(S3/T3)-1</f>
        <v>0</v>
      </c>
      <c r="W3" s="82">
        <v>-3.1E-2</v>
      </c>
      <c r="X3" s="48"/>
      <c r="Y3" s="48"/>
      <c r="AA3" s="35">
        <f>W3</f>
        <v>-3.1E-2</v>
      </c>
      <c r="AB3" s="59"/>
      <c r="AC3" s="48"/>
      <c r="AD3" s="48"/>
      <c r="AE3" s="60">
        <f>AJ12</f>
        <v>0.97387170894194353</v>
      </c>
      <c r="AF3" s="81">
        <f>AJ13/12</f>
        <v>1.1960133411932009E-2</v>
      </c>
      <c r="AH3" s="116" t="s">
        <v>17</v>
      </c>
      <c r="AI3" s="117"/>
      <c r="AJ3" s="54">
        <f>AVERAGE(P4:P122)</f>
        <v>2.1799511190595023E-2</v>
      </c>
    </row>
    <row r="4" spans="1:44" ht="17" thickBot="1" x14ac:dyDescent="0.25">
      <c r="A4" s="26">
        <v>42062</v>
      </c>
      <c r="B4" s="27">
        <v>43.849998474121094</v>
      </c>
      <c r="C4" s="33">
        <f>(B4/B3)-1</f>
        <v>8.5395960840056739E-2</v>
      </c>
      <c r="D4" s="27">
        <v>22.059999465942383</v>
      </c>
      <c r="E4" s="33">
        <f>(D4/D3)-1</f>
        <v>0.14865918008737955</v>
      </c>
      <c r="F4" s="27">
        <v>558.4000244140625</v>
      </c>
      <c r="G4" s="33">
        <f>(F4/F3)-1</f>
        <v>4.4675604299637239E-2</v>
      </c>
      <c r="H4" s="27">
        <v>203.33999633789062</v>
      </c>
      <c r="I4" s="33">
        <f>(H4/H3)-1</f>
        <v>-1.2770616789313793E-3</v>
      </c>
      <c r="K4" s="34">
        <f>C4</f>
        <v>8.5395960840056739E-2</v>
      </c>
      <c r="L4" s="34">
        <f t="shared" ref="L4:L9" si="0">E4</f>
        <v>0.14865918008737955</v>
      </c>
      <c r="M4" s="34">
        <f>G4</f>
        <v>4.4675604299637239E-2</v>
      </c>
      <c r="N4" s="34">
        <f>I4</f>
        <v>-1.2770616789313793E-3</v>
      </c>
      <c r="P4" s="35">
        <f>SUMPRODUCT(K4:N4,$K$124:$N$124)</f>
        <v>8.5205556241958358E-2</v>
      </c>
      <c r="Q4" s="35" t="str">
        <f>IF(P4&lt;0,P4,"")</f>
        <v/>
      </c>
      <c r="S4" s="29">
        <f>S3*(1+P4)</f>
        <v>108.52055562419585</v>
      </c>
      <c r="T4" s="52">
        <f>IF(S4&gt;T3,S4,T3)</f>
        <v>108.52055562419585</v>
      </c>
      <c r="U4" s="35">
        <f t="shared" ref="U4:U67" si="1">(S4/T4)-1</f>
        <v>0</v>
      </c>
      <c r="W4" s="82">
        <v>5.4899999999999997E-2</v>
      </c>
      <c r="X4" s="34">
        <f>P4</f>
        <v>8.5205556241958358E-2</v>
      </c>
      <c r="Y4" s="34">
        <f>X4-W4</f>
        <v>3.030555624195836E-2</v>
      </c>
      <c r="AA4" s="35">
        <f t="shared" ref="AA4:AA67" si="2">W4</f>
        <v>5.4899999999999997E-2</v>
      </c>
      <c r="AB4" s="34">
        <f t="shared" ref="AB4:AB67" si="3">X4</f>
        <v>8.5205556241958358E-2</v>
      </c>
      <c r="AC4" s="35">
        <f>($AE$3*AA4)+$AF$3</f>
        <v>6.542569023284471E-2</v>
      </c>
      <c r="AD4" s="34">
        <f>AB4-AC4</f>
        <v>1.9779866009113647E-2</v>
      </c>
      <c r="AH4" s="116" t="s">
        <v>18</v>
      </c>
      <c r="AI4" s="117"/>
      <c r="AJ4" s="33">
        <f>STDEV(P4:P122)</f>
        <v>6.1935228843081565E-2</v>
      </c>
      <c r="AO4" s="120" t="s">
        <v>53</v>
      </c>
      <c r="AP4" s="121"/>
      <c r="AQ4" s="121"/>
      <c r="AR4" s="122"/>
    </row>
    <row r="5" spans="1:44" ht="17" thickBot="1" x14ac:dyDescent="0.25">
      <c r="A5" s="26">
        <v>42094</v>
      </c>
      <c r="B5" s="27">
        <v>40.654998779296875</v>
      </c>
      <c r="C5" s="33">
        <f t="shared" ref="C5:C68" si="4">(B5/B4)-1</f>
        <v>-7.2862025222413807E-2</v>
      </c>
      <c r="D5" s="27">
        <v>20.924999237060547</v>
      </c>
      <c r="E5" s="33">
        <f t="shared" ref="E5:E68" si="5">(D5/D4)-1</f>
        <v>-5.1450600922911205E-2</v>
      </c>
      <c r="F5" s="27">
        <v>548</v>
      </c>
      <c r="G5" s="33">
        <f t="shared" ref="G5:G68" si="6">(F5/F4)-1</f>
        <v>-1.862468474097112E-2</v>
      </c>
      <c r="H5" s="27">
        <v>188.77000427246094</v>
      </c>
      <c r="I5" s="33">
        <f t="shared" ref="I5:I68" si="7">(H5/H4)-1</f>
        <v>-7.1653350682758354E-2</v>
      </c>
      <c r="K5" s="34">
        <f t="shared" ref="K5:K68" si="8">C5</f>
        <v>-7.2862025222413807E-2</v>
      </c>
      <c r="L5" s="34">
        <f t="shared" si="0"/>
        <v>-5.1450600922911205E-2</v>
      </c>
      <c r="M5" s="34">
        <f t="shared" ref="M5:M68" si="9">G5</f>
        <v>-1.862468474097112E-2</v>
      </c>
      <c r="N5" s="34">
        <f t="shared" ref="N5:N68" si="10">I5</f>
        <v>-7.1653350682758354E-2</v>
      </c>
      <c r="P5" s="35">
        <f t="shared" ref="P5:P35" si="11">SUMPRODUCT(K5:N5,$K$124:$N$124)</f>
        <v>-7.2859369988025308E-2</v>
      </c>
      <c r="Q5" s="35">
        <f t="shared" ref="Q5:Q68" si="12">IF(P5&lt;0,P5,"")</f>
        <v>-7.2859369988025308E-2</v>
      </c>
      <c r="S5" s="29">
        <f t="shared" ref="S5:S68" si="13">S4*(1+P5)</f>
        <v>100.61381631066648</v>
      </c>
      <c r="T5" s="52">
        <f t="shared" ref="T5:T68" si="14">IF(S5&gt;T4,S5,T4)</f>
        <v>108.52055562419585</v>
      </c>
      <c r="U5" s="35">
        <f t="shared" si="1"/>
        <v>-7.2859369988025335E-2</v>
      </c>
      <c r="W5" s="82">
        <v>-1.7399999999999999E-2</v>
      </c>
      <c r="X5" s="34">
        <f t="shared" ref="X5:X68" si="15">P5</f>
        <v>-7.2859369988025308E-2</v>
      </c>
      <c r="Y5" s="34">
        <f t="shared" ref="Y5:Y68" si="16">X5-W5</f>
        <v>-5.5459369988025309E-2</v>
      </c>
      <c r="AA5" s="35">
        <f t="shared" si="2"/>
        <v>-1.7399999999999999E-2</v>
      </c>
      <c r="AB5" s="34">
        <f t="shared" si="3"/>
        <v>-7.2859369988025308E-2</v>
      </c>
      <c r="AC5" s="35">
        <f t="shared" ref="AC5:AC68" si="17">($AE$3*AA5)+$AF$3</f>
        <v>-4.9852343236578087E-3</v>
      </c>
      <c r="AD5" s="34">
        <f t="shared" ref="AD5:AD68" si="18">AB5-AC5</f>
        <v>-6.7874135664367494E-2</v>
      </c>
      <c r="AH5" s="116" t="s">
        <v>19</v>
      </c>
      <c r="AI5" s="117"/>
      <c r="AJ5" s="33">
        <f>AJ3*12</f>
        <v>0.26159413428714029</v>
      </c>
      <c r="AO5" s="72" t="s">
        <v>3</v>
      </c>
      <c r="AP5" s="73" t="s">
        <v>54</v>
      </c>
      <c r="AQ5" s="74" t="s">
        <v>55</v>
      </c>
      <c r="AR5" s="74" t="s">
        <v>56</v>
      </c>
    </row>
    <row r="6" spans="1:44" ht="17" thickBot="1" x14ac:dyDescent="0.25">
      <c r="A6" s="26">
        <v>42124</v>
      </c>
      <c r="B6" s="27">
        <v>48.639999389648438</v>
      </c>
      <c r="C6" s="33">
        <f t="shared" si="4"/>
        <v>0.19640882671524862</v>
      </c>
      <c r="D6" s="27">
        <v>22.194999694824219</v>
      </c>
      <c r="E6" s="33">
        <f t="shared" si="5"/>
        <v>6.0692975104838176E-2</v>
      </c>
      <c r="F6" s="27">
        <v>537.34002685546875</v>
      </c>
      <c r="G6" s="33">
        <f t="shared" si="6"/>
        <v>-1.945250573819568E-2</v>
      </c>
      <c r="H6" s="27">
        <v>226.05000305175781</v>
      </c>
      <c r="I6" s="33">
        <f t="shared" si="7"/>
        <v>0.19748899685083887</v>
      </c>
      <c r="K6" s="34">
        <f t="shared" si="8"/>
        <v>0.19640882671524862</v>
      </c>
      <c r="L6" s="34">
        <f t="shared" si="0"/>
        <v>6.0692975104838176E-2</v>
      </c>
      <c r="M6" s="34">
        <f t="shared" si="9"/>
        <v>-1.945250573819568E-2</v>
      </c>
      <c r="N6" s="34">
        <f t="shared" si="10"/>
        <v>0.19748899685083887</v>
      </c>
      <c r="P6" s="35">
        <f t="shared" si="11"/>
        <v>0.19641119964923184</v>
      </c>
      <c r="Q6" s="35" t="str">
        <f t="shared" si="12"/>
        <v/>
      </c>
      <c r="S6" s="29">
        <f t="shared" si="13"/>
        <v>120.37549667353194</v>
      </c>
      <c r="T6" s="52">
        <f t="shared" si="14"/>
        <v>120.37549667353194</v>
      </c>
      <c r="U6" s="35">
        <f t="shared" si="1"/>
        <v>0</v>
      </c>
      <c r="W6" s="82">
        <v>8.5000000000000006E-3</v>
      </c>
      <c r="X6" s="34">
        <f t="shared" si="15"/>
        <v>0.19641119964923184</v>
      </c>
      <c r="Y6" s="34">
        <f t="shared" si="16"/>
        <v>0.18791119964923184</v>
      </c>
      <c r="AA6" s="35">
        <f t="shared" si="2"/>
        <v>8.5000000000000006E-3</v>
      </c>
      <c r="AB6" s="34">
        <f t="shared" si="3"/>
        <v>0.19641119964923184</v>
      </c>
      <c r="AC6" s="35">
        <f t="shared" si="17"/>
        <v>2.023804293793853E-2</v>
      </c>
      <c r="AD6" s="34">
        <f t="shared" si="18"/>
        <v>0.1761731567112933</v>
      </c>
      <c r="AH6" s="118" t="s">
        <v>20</v>
      </c>
      <c r="AI6" s="119"/>
      <c r="AJ6" s="62">
        <f>AJ4*SQRT(12)</f>
        <v>0.21454992626924527</v>
      </c>
      <c r="AO6" s="75">
        <v>0.33612075720250029</v>
      </c>
      <c r="AP6" s="75">
        <v>0.5450058530626205</v>
      </c>
      <c r="AQ6" s="76">
        <v>0</v>
      </c>
      <c r="AR6" s="77">
        <v>0.11887338973488025</v>
      </c>
    </row>
    <row r="7" spans="1:44" ht="17" thickBot="1" x14ac:dyDescent="0.25">
      <c r="A7" s="26">
        <v>42153</v>
      </c>
      <c r="B7" s="27">
        <v>46.860000610351562</v>
      </c>
      <c r="C7" s="33">
        <f t="shared" si="4"/>
        <v>-3.659537009936098E-2</v>
      </c>
      <c r="D7" s="27">
        <v>22.129999160766602</v>
      </c>
      <c r="E7" s="33">
        <f t="shared" si="5"/>
        <v>-2.9286116220481606E-3</v>
      </c>
      <c r="F7" s="27">
        <v>532.1099853515625</v>
      </c>
      <c r="G7" s="33">
        <f t="shared" si="6"/>
        <v>-9.7332066150229712E-3</v>
      </c>
      <c r="H7" s="27">
        <v>250.80000305175781</v>
      </c>
      <c r="I7" s="33">
        <f t="shared" si="7"/>
        <v>0.10948904961674821</v>
      </c>
      <c r="K7" s="34">
        <f t="shared" si="8"/>
        <v>-3.659537009936098E-2</v>
      </c>
      <c r="L7" s="34">
        <f t="shared" si="0"/>
        <v>-2.9286116220481606E-3</v>
      </c>
      <c r="M7" s="34">
        <f t="shared" si="9"/>
        <v>-9.7332066150229712E-3</v>
      </c>
      <c r="N7" s="34">
        <f t="shared" si="10"/>
        <v>0.10948904961674821</v>
      </c>
      <c r="P7" s="35">
        <f t="shared" si="11"/>
        <v>-3.6274449651266576E-2</v>
      </c>
      <c r="Q7" s="35">
        <f t="shared" si="12"/>
        <v>-3.6274449651266576E-2</v>
      </c>
      <c r="S7" s="29">
        <f t="shared" si="13"/>
        <v>116.0089417802017</v>
      </c>
      <c r="T7" s="52">
        <f t="shared" si="14"/>
        <v>120.37549667353194</v>
      </c>
      <c r="U7" s="35">
        <f t="shared" si="1"/>
        <v>-3.6274449651266583E-2</v>
      </c>
      <c r="W7" s="82">
        <v>1.0500000000000001E-2</v>
      </c>
      <c r="X7" s="34">
        <f t="shared" si="15"/>
        <v>-3.6274449651266576E-2</v>
      </c>
      <c r="Y7" s="34">
        <f t="shared" si="16"/>
        <v>-4.6774449651266578E-2</v>
      </c>
      <c r="AA7" s="35">
        <f t="shared" si="2"/>
        <v>1.0500000000000001E-2</v>
      </c>
      <c r="AB7" s="34">
        <f t="shared" si="3"/>
        <v>-3.6274449651266576E-2</v>
      </c>
      <c r="AC7" s="35">
        <f t="shared" si="17"/>
        <v>2.2185786355822416E-2</v>
      </c>
      <c r="AD7" s="34">
        <f t="shared" si="18"/>
        <v>-5.8460236007088995E-2</v>
      </c>
      <c r="AH7" s="116" t="s">
        <v>21</v>
      </c>
      <c r="AI7" s="117"/>
      <c r="AJ7" s="33">
        <v>0.03</v>
      </c>
    </row>
    <row r="8" spans="1:44" ht="17" thickBot="1" x14ac:dyDescent="0.25">
      <c r="A8" s="26">
        <v>42185</v>
      </c>
      <c r="B8" s="27">
        <v>44.150001525878906</v>
      </c>
      <c r="C8" s="33">
        <f t="shared" si="4"/>
        <v>-5.7831819231218828E-2</v>
      </c>
      <c r="D8" s="27">
        <v>20.110000610351562</v>
      </c>
      <c r="E8" s="33">
        <f t="shared" si="5"/>
        <v>-9.1278745007646211E-2</v>
      </c>
      <c r="F8" s="27">
        <v>520.510009765625</v>
      </c>
      <c r="G8" s="33">
        <f t="shared" si="6"/>
        <v>-2.1799958477143555E-2</v>
      </c>
      <c r="H8" s="27">
        <v>268.260009765625</v>
      </c>
      <c r="I8" s="33">
        <f t="shared" si="7"/>
        <v>6.9617250803079012E-2</v>
      </c>
      <c r="K8" s="34">
        <f t="shared" si="8"/>
        <v>-5.7831819231218828E-2</v>
      </c>
      <c r="L8" s="34">
        <f t="shared" si="0"/>
        <v>-9.1278745007646211E-2</v>
      </c>
      <c r="M8" s="34">
        <f t="shared" si="9"/>
        <v>-2.1799958477143555E-2</v>
      </c>
      <c r="N8" s="34">
        <f t="shared" si="10"/>
        <v>6.9617250803079012E-2</v>
      </c>
      <c r="P8" s="35">
        <f t="shared" si="11"/>
        <v>-5.7551837199294402E-2</v>
      </c>
      <c r="Q8" s="35">
        <f t="shared" si="12"/>
        <v>-5.7551837199294402E-2</v>
      </c>
      <c r="S8" s="29">
        <f t="shared" si="13"/>
        <v>109.33241404920511</v>
      </c>
      <c r="T8" s="52">
        <f t="shared" si="14"/>
        <v>120.37549667353194</v>
      </c>
      <c r="U8" s="35">
        <f t="shared" si="1"/>
        <v>-9.1738625629737225E-2</v>
      </c>
      <c r="W8" s="82">
        <v>-2.1000000000000001E-2</v>
      </c>
      <c r="X8" s="34">
        <f t="shared" si="15"/>
        <v>-5.7551837199294402E-2</v>
      </c>
      <c r="Y8" s="34">
        <f t="shared" si="16"/>
        <v>-3.6551837199294404E-2</v>
      </c>
      <c r="AA8" s="35">
        <f t="shared" si="2"/>
        <v>-2.1000000000000001E-2</v>
      </c>
      <c r="AB8" s="34">
        <f t="shared" si="3"/>
        <v>-5.7551837199294402E-2</v>
      </c>
      <c r="AC8" s="35">
        <f t="shared" si="17"/>
        <v>-8.4911724758488048E-3</v>
      </c>
      <c r="AD8" s="34">
        <f t="shared" si="18"/>
        <v>-4.9060664723445599E-2</v>
      </c>
      <c r="AH8" s="118" t="s">
        <v>22</v>
      </c>
      <c r="AI8" s="119"/>
      <c r="AJ8" s="63">
        <f>(AJ5-AJ7)/AJ6</f>
        <v>1.079441686670662</v>
      </c>
      <c r="AO8" s="120" t="s">
        <v>57</v>
      </c>
      <c r="AP8" s="121"/>
      <c r="AQ8" s="121"/>
      <c r="AR8" s="122"/>
    </row>
    <row r="9" spans="1:44" ht="17" thickBot="1" x14ac:dyDescent="0.25">
      <c r="A9" s="26">
        <v>42216</v>
      </c>
      <c r="B9" s="27">
        <v>46.700000762939453</v>
      </c>
      <c r="C9" s="33">
        <f t="shared" si="4"/>
        <v>5.7757625117313749E-2</v>
      </c>
      <c r="D9" s="27">
        <v>19.950000762939453</v>
      </c>
      <c r="E9" s="33">
        <f t="shared" si="5"/>
        <v>-7.9562328471411981E-3</v>
      </c>
      <c r="F9" s="27">
        <v>625.6099853515625</v>
      </c>
      <c r="G9" s="33">
        <f t="shared" si="6"/>
        <v>0.20191729959864158</v>
      </c>
      <c r="H9" s="27">
        <v>266.14999389648438</v>
      </c>
      <c r="I9" s="33">
        <f t="shared" si="7"/>
        <v>-7.8655624853817274E-3</v>
      </c>
      <c r="K9" s="34">
        <f t="shared" si="8"/>
        <v>5.7757625117313749E-2</v>
      </c>
      <c r="L9" s="34">
        <f t="shared" si="0"/>
        <v>-7.9562328471411981E-3</v>
      </c>
      <c r="M9" s="34">
        <f t="shared" si="9"/>
        <v>0.20191729959864158</v>
      </c>
      <c r="N9" s="34">
        <f t="shared" si="10"/>
        <v>-7.8655624853817274E-3</v>
      </c>
      <c r="P9" s="35">
        <f t="shared" si="11"/>
        <v>5.7613463112825114E-2</v>
      </c>
      <c r="Q9" s="35" t="str">
        <f t="shared" si="12"/>
        <v/>
      </c>
      <c r="S9" s="29">
        <f t="shared" si="13"/>
        <v>115.63143305306511</v>
      </c>
      <c r="T9" s="52">
        <f t="shared" si="14"/>
        <v>120.37549667353194</v>
      </c>
      <c r="U9" s="35">
        <f t="shared" si="1"/>
        <v>-3.9410542440652341E-2</v>
      </c>
      <c r="W9" s="82">
        <v>1.9699999999999999E-2</v>
      </c>
      <c r="X9" s="34">
        <f t="shared" si="15"/>
        <v>5.7613463112825114E-2</v>
      </c>
      <c r="Y9" s="34">
        <f t="shared" si="16"/>
        <v>3.7913463112825119E-2</v>
      </c>
      <c r="AA9" s="35">
        <f t="shared" si="2"/>
        <v>1.9699999999999999E-2</v>
      </c>
      <c r="AB9" s="34">
        <f t="shared" si="3"/>
        <v>5.7613463112825114E-2</v>
      </c>
      <c r="AC9" s="35">
        <f t="shared" si="17"/>
        <v>3.1145406078088293E-2</v>
      </c>
      <c r="AD9" s="34">
        <f t="shared" si="18"/>
        <v>2.6468057034736821E-2</v>
      </c>
      <c r="AH9" s="116" t="s">
        <v>32</v>
      </c>
      <c r="AI9" s="117"/>
      <c r="AJ9" s="35">
        <f>STDEV(Q4:Q122)*SQRT(12)</f>
        <v>0.1067078205690582</v>
      </c>
      <c r="AO9" s="72" t="s">
        <v>3</v>
      </c>
      <c r="AP9" s="73" t="s">
        <v>54</v>
      </c>
      <c r="AQ9" s="74" t="s">
        <v>55</v>
      </c>
      <c r="AR9" s="74" t="s">
        <v>56</v>
      </c>
    </row>
    <row r="10" spans="1:44" ht="17" thickBot="1" x14ac:dyDescent="0.25">
      <c r="A10" s="26">
        <v>42247</v>
      </c>
      <c r="B10" s="27">
        <v>43.520000457763672</v>
      </c>
      <c r="C10" s="33">
        <f t="shared" si="4"/>
        <v>-6.8094223837773304E-2</v>
      </c>
      <c r="D10" s="27">
        <v>22.479999542236328</v>
      </c>
      <c r="E10" s="33">
        <f t="shared" si="5"/>
        <v>0.12681697656858137</v>
      </c>
      <c r="F10" s="27">
        <v>618.25</v>
      </c>
      <c r="G10" s="33">
        <f t="shared" si="6"/>
        <v>-1.1764494691411498E-2</v>
      </c>
      <c r="H10" s="27">
        <v>249.05999755859375</v>
      </c>
      <c r="I10" s="33">
        <f t="shared" si="7"/>
        <v>-6.4211898289719849E-2</v>
      </c>
      <c r="K10" s="34">
        <f t="shared" si="8"/>
        <v>-6.8094223837773304E-2</v>
      </c>
      <c r="L10" s="34">
        <f t="shared" ref="L10:L68" si="19">E10</f>
        <v>0.12681697656858137</v>
      </c>
      <c r="M10" s="34">
        <f t="shared" si="9"/>
        <v>-1.1764494691411498E-2</v>
      </c>
      <c r="N10" s="34">
        <f t="shared" si="10"/>
        <v>-6.4211898289719849E-2</v>
      </c>
      <c r="P10" s="35">
        <f t="shared" si="11"/>
        <v>-6.8085695086678971E-2</v>
      </c>
      <c r="Q10" s="35">
        <f t="shared" si="12"/>
        <v>-6.8085695086678971E-2</v>
      </c>
      <c r="S10" s="29">
        <f t="shared" si="13"/>
        <v>107.75858655977839</v>
      </c>
      <c r="T10" s="52">
        <f t="shared" si="14"/>
        <v>120.37549667353194</v>
      </c>
      <c r="U10" s="35">
        <f t="shared" si="1"/>
        <v>-0.10481294335151636</v>
      </c>
      <c r="W10" s="82">
        <v>-6.2600000000000003E-2</v>
      </c>
      <c r="X10" s="34">
        <f t="shared" si="15"/>
        <v>-6.8085695086678971E-2</v>
      </c>
      <c r="Y10" s="34">
        <f t="shared" si="16"/>
        <v>-5.4856950866789683E-3</v>
      </c>
      <c r="AA10" s="35">
        <f t="shared" si="2"/>
        <v>-6.2600000000000003E-2</v>
      </c>
      <c r="AB10" s="34">
        <f t="shared" si="3"/>
        <v>-6.8085695086678971E-2</v>
      </c>
      <c r="AC10" s="35">
        <f t="shared" si="17"/>
        <v>-4.9004235567833662E-2</v>
      </c>
      <c r="AD10" s="34">
        <f t="shared" si="18"/>
        <v>-1.9081459518845309E-2</v>
      </c>
      <c r="AH10" s="116" t="s">
        <v>33</v>
      </c>
      <c r="AI10" s="117"/>
      <c r="AJ10" s="55">
        <f>(AJ5-AJ7)/AJ9</f>
        <v>2.170357646253859</v>
      </c>
      <c r="AO10" s="78">
        <v>0.64386529990265906</v>
      </c>
      <c r="AP10" s="79">
        <v>0</v>
      </c>
      <c r="AQ10" s="80">
        <v>0.35613470009734211</v>
      </c>
      <c r="AR10" s="80">
        <v>0</v>
      </c>
    </row>
    <row r="11" spans="1:44" ht="17" thickBot="1" x14ac:dyDescent="0.25">
      <c r="A11" s="26">
        <v>42277</v>
      </c>
      <c r="B11" s="27">
        <v>44.259998321533203</v>
      </c>
      <c r="C11" s="33">
        <f t="shared" si="4"/>
        <v>1.7003627205558036E-2</v>
      </c>
      <c r="D11" s="27">
        <v>24.649999618530273</v>
      </c>
      <c r="E11" s="33">
        <f t="shared" si="5"/>
        <v>9.6530254469839427E-2</v>
      </c>
      <c r="F11" s="27">
        <v>608.41998291015625</v>
      </c>
      <c r="G11" s="33">
        <f t="shared" si="6"/>
        <v>-1.5899744585270881E-2</v>
      </c>
      <c r="H11" s="27">
        <v>248.39999389648438</v>
      </c>
      <c r="I11" s="33">
        <f t="shared" si="7"/>
        <v>-2.6499785938289833E-3</v>
      </c>
      <c r="K11" s="34">
        <f t="shared" si="8"/>
        <v>1.7003627205558036E-2</v>
      </c>
      <c r="L11" s="34">
        <f t="shared" si="19"/>
        <v>9.6530254469839427E-2</v>
      </c>
      <c r="M11" s="34">
        <f t="shared" si="9"/>
        <v>-1.5899744585270881E-2</v>
      </c>
      <c r="N11" s="34">
        <f t="shared" si="10"/>
        <v>-2.6499785938289833E-3</v>
      </c>
      <c r="P11" s="35">
        <f t="shared" si="11"/>
        <v>1.6960451869050111E-2</v>
      </c>
      <c r="Q11" s="35" t="str">
        <f t="shared" si="12"/>
        <v/>
      </c>
      <c r="S11" s="29">
        <f t="shared" si="13"/>
        <v>109.58622088060238</v>
      </c>
      <c r="T11" s="52">
        <f t="shared" si="14"/>
        <v>120.37549667353194</v>
      </c>
      <c r="U11" s="35">
        <f t="shared" si="1"/>
        <v>-8.9630166363433128E-2</v>
      </c>
      <c r="W11" s="82">
        <v>-2.64E-2</v>
      </c>
      <c r="X11" s="34">
        <f t="shared" si="15"/>
        <v>1.6960451869050111E-2</v>
      </c>
      <c r="Y11" s="34">
        <f t="shared" si="16"/>
        <v>4.3360451869050111E-2</v>
      </c>
      <c r="AA11" s="35">
        <f t="shared" si="2"/>
        <v>-2.64E-2</v>
      </c>
      <c r="AB11" s="34">
        <f t="shared" si="3"/>
        <v>1.6960451869050111E-2</v>
      </c>
      <c r="AC11" s="35">
        <f t="shared" si="17"/>
        <v>-1.3750079704135299E-2</v>
      </c>
      <c r="AD11" s="34">
        <f t="shared" si="18"/>
        <v>3.0710531573185408E-2</v>
      </c>
      <c r="AE11" s="61"/>
      <c r="AF11" s="61"/>
      <c r="AH11" s="118" t="s">
        <v>34</v>
      </c>
      <c r="AI11" s="119"/>
      <c r="AJ11" s="64">
        <f>MIN(U3:U122)</f>
        <v>-0.30979401176698984</v>
      </c>
    </row>
    <row r="12" spans="1:44" ht="17" thickBot="1" x14ac:dyDescent="0.25">
      <c r="A12" s="26">
        <v>42307</v>
      </c>
      <c r="B12" s="27">
        <v>52.639999389648438</v>
      </c>
      <c r="C12" s="33">
        <f t="shared" si="4"/>
        <v>0.18933577464774176</v>
      </c>
      <c r="D12" s="27">
        <v>28.370000839233398</v>
      </c>
      <c r="E12" s="33">
        <f t="shared" si="5"/>
        <v>0.1509128307615335</v>
      </c>
      <c r="F12" s="27">
        <v>710.80999755859375</v>
      </c>
      <c r="G12" s="33">
        <f t="shared" si="6"/>
        <v>0.16828838224328524</v>
      </c>
      <c r="H12" s="27">
        <v>206.92999267578125</v>
      </c>
      <c r="I12" s="33">
        <f t="shared" si="7"/>
        <v>-0.16694847922574785</v>
      </c>
      <c r="K12" s="34">
        <f t="shared" si="8"/>
        <v>0.18933577464774176</v>
      </c>
      <c r="L12" s="34">
        <f t="shared" si="19"/>
        <v>0.1509128307615335</v>
      </c>
      <c r="M12" s="34">
        <f t="shared" si="9"/>
        <v>0.16828838224328524</v>
      </c>
      <c r="N12" s="34">
        <f t="shared" si="10"/>
        <v>-0.16694847922574785</v>
      </c>
      <c r="P12" s="35">
        <f t="shared" si="11"/>
        <v>0.18855308404579912</v>
      </c>
      <c r="Q12" s="35" t="str">
        <f t="shared" si="12"/>
        <v/>
      </c>
      <c r="S12" s="29">
        <f t="shared" si="13"/>
        <v>130.24904079656412</v>
      </c>
      <c r="T12" s="52">
        <f t="shared" si="14"/>
        <v>130.24904079656412</v>
      </c>
      <c r="U12" s="35">
        <f t="shared" si="1"/>
        <v>0</v>
      </c>
      <c r="W12" s="82">
        <v>8.3000000000000004E-2</v>
      </c>
      <c r="X12" s="34">
        <f t="shared" si="15"/>
        <v>0.18855308404579912</v>
      </c>
      <c r="Y12" s="34">
        <f t="shared" si="16"/>
        <v>0.10555308404579912</v>
      </c>
      <c r="AA12" s="35">
        <f t="shared" si="2"/>
        <v>8.3000000000000004E-2</v>
      </c>
      <c r="AB12" s="34">
        <f t="shared" si="3"/>
        <v>0.18855308404579912</v>
      </c>
      <c r="AC12" s="35">
        <f t="shared" si="17"/>
        <v>9.2791485254113334E-2</v>
      </c>
      <c r="AD12" s="34">
        <f t="shared" si="18"/>
        <v>9.576159879168579E-2</v>
      </c>
      <c r="AH12" s="116" t="s">
        <v>35</v>
      </c>
      <c r="AI12" s="117"/>
      <c r="AJ12" s="55">
        <f>SLOPE(P4:P122,W4:W122)</f>
        <v>0.97387170894194353</v>
      </c>
      <c r="AO12" s="120" t="s">
        <v>58</v>
      </c>
      <c r="AP12" s="121"/>
      <c r="AQ12" s="121"/>
      <c r="AR12" s="122"/>
    </row>
    <row r="13" spans="1:44" ht="17" thickBot="1" x14ac:dyDescent="0.25">
      <c r="A13" s="26">
        <v>42338</v>
      </c>
      <c r="B13" s="27">
        <v>54.349998474121094</v>
      </c>
      <c r="C13" s="33">
        <f t="shared" si="4"/>
        <v>3.2484785416029505E-2</v>
      </c>
      <c r="D13" s="27">
        <v>31.719999313354492</v>
      </c>
      <c r="E13" s="33">
        <f t="shared" si="5"/>
        <v>0.11808242421650972</v>
      </c>
      <c r="F13" s="27">
        <v>742.5999755859375</v>
      </c>
      <c r="G13" s="33">
        <f t="shared" si="6"/>
        <v>4.4723594401502753E-2</v>
      </c>
      <c r="H13" s="27">
        <v>230.25999450683594</v>
      </c>
      <c r="I13" s="33">
        <f t="shared" si="7"/>
        <v>0.11274345264974817</v>
      </c>
      <c r="K13" s="34">
        <f t="shared" si="8"/>
        <v>3.2484785416029505E-2</v>
      </c>
      <c r="L13" s="34">
        <f t="shared" si="19"/>
        <v>0.11808242421650972</v>
      </c>
      <c r="M13" s="34">
        <f t="shared" si="9"/>
        <v>4.4723594401502753E-2</v>
      </c>
      <c r="N13" s="34">
        <f t="shared" si="10"/>
        <v>0.11274345264974817</v>
      </c>
      <c r="P13" s="35">
        <f t="shared" si="11"/>
        <v>3.2661098862064107E-2</v>
      </c>
      <c r="Q13" s="35" t="str">
        <f t="shared" si="12"/>
        <v/>
      </c>
      <c r="S13" s="29">
        <f t="shared" si="13"/>
        <v>134.50311759470972</v>
      </c>
      <c r="T13" s="52">
        <f t="shared" si="14"/>
        <v>134.50311759470972</v>
      </c>
      <c r="U13" s="35">
        <f t="shared" si="1"/>
        <v>0</v>
      </c>
      <c r="W13" s="82">
        <v>5.0000000000000001E-4</v>
      </c>
      <c r="X13" s="34">
        <f t="shared" si="15"/>
        <v>3.2661098862064107E-2</v>
      </c>
      <c r="Y13" s="34">
        <f t="shared" si="16"/>
        <v>3.2161098862064107E-2</v>
      </c>
      <c r="AA13" s="35">
        <f t="shared" si="2"/>
        <v>5.0000000000000001E-4</v>
      </c>
      <c r="AB13" s="34">
        <f t="shared" si="3"/>
        <v>3.2661098862064107E-2</v>
      </c>
      <c r="AC13" s="35">
        <f t="shared" si="17"/>
        <v>1.2447069266402981E-2</v>
      </c>
      <c r="AD13" s="34">
        <f t="shared" si="18"/>
        <v>2.0214029595661126E-2</v>
      </c>
      <c r="AH13" s="116" t="s">
        <v>36</v>
      </c>
      <c r="AI13" s="117"/>
      <c r="AJ13" s="35">
        <f>INTERCEPT(P4:P122,W4:W122)*12</f>
        <v>0.14352160094318411</v>
      </c>
      <c r="AO13" s="72" t="s">
        <v>3</v>
      </c>
      <c r="AP13" s="73" t="s">
        <v>54</v>
      </c>
      <c r="AQ13" s="74" t="s">
        <v>55</v>
      </c>
      <c r="AR13" s="74" t="s">
        <v>56</v>
      </c>
    </row>
    <row r="14" spans="1:44" ht="17" thickBot="1" x14ac:dyDescent="0.25">
      <c r="A14" s="26">
        <v>42369</v>
      </c>
      <c r="B14" s="27">
        <v>55.479999542236328</v>
      </c>
      <c r="C14" s="33">
        <f t="shared" si="4"/>
        <v>2.0791188589513787E-2</v>
      </c>
      <c r="D14" s="27">
        <v>32.959999084472656</v>
      </c>
      <c r="E14" s="33">
        <f t="shared" si="5"/>
        <v>3.9092049116032257E-2</v>
      </c>
      <c r="F14" s="27">
        <v>758.8800048828125</v>
      </c>
      <c r="G14" s="33">
        <f t="shared" si="6"/>
        <v>2.192301350943282E-2</v>
      </c>
      <c r="H14" s="27">
        <v>240.00999450683594</v>
      </c>
      <c r="I14" s="33">
        <f t="shared" si="7"/>
        <v>4.2343438863021943E-2</v>
      </c>
      <c r="K14" s="34">
        <f t="shared" si="8"/>
        <v>2.0791188589513787E-2</v>
      </c>
      <c r="L14" s="34">
        <f t="shared" si="19"/>
        <v>3.9092049116032257E-2</v>
      </c>
      <c r="M14" s="34">
        <f t="shared" si="9"/>
        <v>2.192301350943282E-2</v>
      </c>
      <c r="N14" s="34">
        <f t="shared" si="10"/>
        <v>4.2343438863021943E-2</v>
      </c>
      <c r="P14" s="35">
        <f t="shared" si="11"/>
        <v>2.0838534896728905E-2</v>
      </c>
      <c r="Q14" s="35" t="str">
        <f t="shared" si="12"/>
        <v/>
      </c>
      <c r="S14" s="29">
        <f t="shared" si="13"/>
        <v>137.3059655044259</v>
      </c>
      <c r="T14" s="52">
        <f t="shared" si="14"/>
        <v>137.3059655044259</v>
      </c>
      <c r="U14" s="35">
        <f t="shared" si="1"/>
        <v>0</v>
      </c>
      <c r="W14" s="82">
        <v>-1.7500000000000002E-2</v>
      </c>
      <c r="X14" s="34">
        <f t="shared" si="15"/>
        <v>2.0838534896728905E-2</v>
      </c>
      <c r="Y14" s="34">
        <f t="shared" si="16"/>
        <v>3.8338534896728907E-2</v>
      </c>
      <c r="AA14" s="35">
        <f t="shared" si="2"/>
        <v>-1.7500000000000002E-2</v>
      </c>
      <c r="AB14" s="34">
        <f t="shared" si="3"/>
        <v>2.0838534896728905E-2</v>
      </c>
      <c r="AC14" s="35">
        <f t="shared" si="17"/>
        <v>-5.0826214945520042E-3</v>
      </c>
      <c r="AD14" s="34">
        <f t="shared" si="18"/>
        <v>2.5921156391280911E-2</v>
      </c>
      <c r="AH14" s="116" t="s">
        <v>37</v>
      </c>
      <c r="AI14" s="117"/>
      <c r="AJ14" s="34">
        <f>AVERAGE(Y4:Y122)*12</f>
        <v>0.14035379815268642</v>
      </c>
      <c r="AO14" s="78">
        <v>0.99780318497538656</v>
      </c>
      <c r="AP14" s="79">
        <v>0</v>
      </c>
      <c r="AQ14" s="81">
        <v>0</v>
      </c>
      <c r="AR14" s="80">
        <v>2.1968150246145179E-3</v>
      </c>
    </row>
    <row r="15" spans="1:44" x14ac:dyDescent="0.2">
      <c r="A15" s="26">
        <v>42398</v>
      </c>
      <c r="B15" s="27">
        <v>55.090000152587891</v>
      </c>
      <c r="C15" s="33">
        <f t="shared" si="4"/>
        <v>-7.0295492585852326E-3</v>
      </c>
      <c r="D15" s="27">
        <v>29.290000915527344</v>
      </c>
      <c r="E15" s="33">
        <f t="shared" si="5"/>
        <v>-0.11134703491767495</v>
      </c>
      <c r="F15" s="27">
        <v>742.95001220703125</v>
      </c>
      <c r="G15" s="33">
        <f t="shared" si="6"/>
        <v>-2.0991451314152365E-2</v>
      </c>
      <c r="H15" s="27">
        <v>191.19999694824219</v>
      </c>
      <c r="I15" s="33">
        <f t="shared" si="7"/>
        <v>-0.2033665208771277</v>
      </c>
      <c r="K15" s="34">
        <f t="shared" si="8"/>
        <v>-7.0295492585852326E-3</v>
      </c>
      <c r="L15" s="34">
        <f t="shared" si="19"/>
        <v>-0.11134703491767495</v>
      </c>
      <c r="M15" s="34">
        <f t="shared" si="9"/>
        <v>-2.0991451314152365E-2</v>
      </c>
      <c r="N15" s="34">
        <f t="shared" si="10"/>
        <v>-0.2033665208771277</v>
      </c>
      <c r="P15" s="35">
        <f t="shared" si="11"/>
        <v>-7.460865267724168E-3</v>
      </c>
      <c r="Q15" s="35">
        <f t="shared" si="12"/>
        <v>-7.460865267724168E-3</v>
      </c>
      <c r="S15" s="29">
        <f t="shared" si="13"/>
        <v>136.2815441953426</v>
      </c>
      <c r="T15" s="52">
        <f t="shared" si="14"/>
        <v>137.3059655044259</v>
      </c>
      <c r="U15" s="35">
        <f t="shared" si="1"/>
        <v>-7.4608652677240483E-3</v>
      </c>
      <c r="W15" s="82">
        <v>-5.0700000000000002E-2</v>
      </c>
      <c r="X15" s="34">
        <f t="shared" si="15"/>
        <v>-7.460865267724168E-3</v>
      </c>
      <c r="Y15" s="34">
        <f t="shared" si="16"/>
        <v>4.3239134732275836E-2</v>
      </c>
      <c r="AA15" s="35">
        <f t="shared" si="2"/>
        <v>-5.0700000000000002E-2</v>
      </c>
      <c r="AB15" s="34">
        <f t="shared" si="3"/>
        <v>-7.460865267724168E-3</v>
      </c>
      <c r="AC15" s="35">
        <f t="shared" si="17"/>
        <v>-3.7415162231424534E-2</v>
      </c>
      <c r="AD15" s="34">
        <f t="shared" si="18"/>
        <v>2.9954296963700368E-2</v>
      </c>
      <c r="AH15" s="116" t="s">
        <v>42</v>
      </c>
      <c r="AI15" s="117"/>
      <c r="AJ15" s="35">
        <f>STDEV(Y4:Y122)*SQRT(12)</f>
        <v>0.15395732705918408</v>
      </c>
    </row>
    <row r="16" spans="1:44" x14ac:dyDescent="0.2">
      <c r="A16" s="26">
        <v>42429</v>
      </c>
      <c r="B16" s="27">
        <v>50.880001068115234</v>
      </c>
      <c r="C16" s="33">
        <f t="shared" si="4"/>
        <v>-7.6420386146520802E-2</v>
      </c>
      <c r="D16" s="27">
        <v>31.360000610351562</v>
      </c>
      <c r="E16" s="33">
        <f t="shared" si="5"/>
        <v>7.0672571871681411E-2</v>
      </c>
      <c r="F16" s="27">
        <v>697.77001953125</v>
      </c>
      <c r="G16" s="33">
        <f t="shared" si="6"/>
        <v>-6.0811618458108785E-2</v>
      </c>
      <c r="H16" s="27">
        <v>191.92999267578125</v>
      </c>
      <c r="I16" s="33">
        <f t="shared" si="7"/>
        <v>3.8179693472311094E-3</v>
      </c>
      <c r="K16" s="34">
        <f t="shared" si="8"/>
        <v>-7.6420386146520802E-2</v>
      </c>
      <c r="L16" s="34">
        <f t="shared" si="19"/>
        <v>7.0672571871681411E-2</v>
      </c>
      <c r="M16" s="34">
        <f t="shared" si="9"/>
        <v>-6.0811618458108785E-2</v>
      </c>
      <c r="N16" s="34">
        <f t="shared" si="10"/>
        <v>3.8179693472311094E-3</v>
      </c>
      <c r="P16" s="35">
        <f t="shared" si="11"/>
        <v>-7.624411732162184E-2</v>
      </c>
      <c r="Q16" s="35">
        <f t="shared" si="12"/>
        <v>-7.624411732162184E-2</v>
      </c>
      <c r="S16" s="29">
        <f t="shared" si="13"/>
        <v>125.89087815094111</v>
      </c>
      <c r="T16" s="52">
        <f t="shared" si="14"/>
        <v>137.3059655044259</v>
      </c>
      <c r="U16" s="35">
        <f t="shared" si="1"/>
        <v>-8.3136135502552833E-2</v>
      </c>
      <c r="W16" s="82">
        <v>-4.1000000000000003E-3</v>
      </c>
      <c r="X16" s="34">
        <f t="shared" si="15"/>
        <v>-7.624411732162184E-2</v>
      </c>
      <c r="Y16" s="34">
        <f t="shared" si="16"/>
        <v>-7.2144117321621834E-2</v>
      </c>
      <c r="AA16" s="35">
        <f t="shared" si="2"/>
        <v>-4.1000000000000003E-3</v>
      </c>
      <c r="AB16" s="34">
        <f t="shared" si="3"/>
        <v>-7.624411732162184E-2</v>
      </c>
      <c r="AC16" s="35">
        <f t="shared" si="17"/>
        <v>7.9672594052700406E-3</v>
      </c>
      <c r="AD16" s="34">
        <f t="shared" si="18"/>
        <v>-8.4211376726891884E-2</v>
      </c>
      <c r="AH16" s="116" t="s">
        <v>43</v>
      </c>
      <c r="AI16" s="117"/>
      <c r="AJ16" s="55">
        <f>AJ14/AJ15</f>
        <v>0.911640912671417</v>
      </c>
    </row>
    <row r="17" spans="1:38" x14ac:dyDescent="0.2">
      <c r="A17" s="26">
        <v>42460</v>
      </c>
      <c r="B17" s="27">
        <v>55.229999542236328</v>
      </c>
      <c r="C17" s="33">
        <f t="shared" si="4"/>
        <v>8.5495251234322112E-2</v>
      </c>
      <c r="D17" s="27">
        <v>35.630001068115234</v>
      </c>
      <c r="E17" s="33">
        <f t="shared" si="5"/>
        <v>0.13616072623270914</v>
      </c>
      <c r="F17" s="27">
        <v>744.95001220703125</v>
      </c>
      <c r="G17" s="33">
        <f t="shared" si="6"/>
        <v>6.7615390967178612E-2</v>
      </c>
      <c r="H17" s="27">
        <v>229.77000427246094</v>
      </c>
      <c r="I17" s="33">
        <f t="shared" si="7"/>
        <v>0.1971552807830359</v>
      </c>
      <c r="K17" s="34">
        <f t="shared" si="8"/>
        <v>8.5495251234322112E-2</v>
      </c>
      <c r="L17" s="34">
        <f t="shared" si="19"/>
        <v>0.13616072623270914</v>
      </c>
      <c r="M17" s="34">
        <f t="shared" si="9"/>
        <v>6.7615390967178612E-2</v>
      </c>
      <c r="N17" s="34">
        <f t="shared" si="10"/>
        <v>0.1971552807830359</v>
      </c>
      <c r="P17" s="35">
        <f t="shared" si="11"/>
        <v>8.5740547664883718E-2</v>
      </c>
      <c r="Q17" s="35" t="str">
        <f t="shared" si="12"/>
        <v/>
      </c>
      <c r="S17" s="29">
        <f t="shared" si="13"/>
        <v>136.68483098961596</v>
      </c>
      <c r="T17" s="52">
        <f t="shared" si="14"/>
        <v>137.3059655044259</v>
      </c>
      <c r="U17" s="35">
        <f t="shared" si="1"/>
        <v>-4.5237256263997994E-3</v>
      </c>
      <c r="W17" s="82">
        <v>6.6000000000000003E-2</v>
      </c>
      <c r="X17" s="34">
        <f t="shared" si="15"/>
        <v>8.5740547664883718E-2</v>
      </c>
      <c r="Y17" s="34">
        <f t="shared" si="16"/>
        <v>1.9740547664883715E-2</v>
      </c>
      <c r="AA17" s="35">
        <f t="shared" si="2"/>
        <v>6.6000000000000003E-2</v>
      </c>
      <c r="AB17" s="34">
        <f t="shared" si="3"/>
        <v>8.5740547664883718E-2</v>
      </c>
      <c r="AC17" s="35">
        <f t="shared" si="17"/>
        <v>7.6235666202100288E-2</v>
      </c>
      <c r="AD17" s="34">
        <f t="shared" si="18"/>
        <v>9.5048814627834294E-3</v>
      </c>
      <c r="AH17" s="116" t="s">
        <v>44</v>
      </c>
      <c r="AI17" s="117"/>
      <c r="AJ17" s="55">
        <f>(AJ5-AJ7)/AJ12</f>
        <v>0.23780764156169421</v>
      </c>
    </row>
    <row r="18" spans="1:38" x14ac:dyDescent="0.2">
      <c r="A18" s="26">
        <v>42489</v>
      </c>
      <c r="B18" s="27">
        <v>49.869998931884766</v>
      </c>
      <c r="C18" s="33">
        <f t="shared" si="4"/>
        <v>-9.7048717269182294E-2</v>
      </c>
      <c r="D18" s="27">
        <v>35.529998779296875</v>
      </c>
      <c r="E18" s="33">
        <f t="shared" si="5"/>
        <v>-2.8066877861491202E-3</v>
      </c>
      <c r="F18" s="27">
        <v>693.010009765625</v>
      </c>
      <c r="G18" s="33">
        <f t="shared" si="6"/>
        <v>-6.9722802322703337E-2</v>
      </c>
      <c r="H18" s="27">
        <v>240.75999450683594</v>
      </c>
      <c r="I18" s="33">
        <f t="shared" si="7"/>
        <v>4.7830395743663212E-2</v>
      </c>
      <c r="K18" s="34">
        <f t="shared" si="8"/>
        <v>-9.7048717269182294E-2</v>
      </c>
      <c r="L18" s="34">
        <f t="shared" si="19"/>
        <v>-2.8066877861491202E-3</v>
      </c>
      <c r="M18" s="34">
        <f t="shared" si="9"/>
        <v>-6.9722802322703337E-2</v>
      </c>
      <c r="N18" s="34">
        <f t="shared" si="10"/>
        <v>4.7830395743663212E-2</v>
      </c>
      <c r="P18" s="35">
        <f t="shared" si="11"/>
        <v>-9.6730444656962955E-2</v>
      </c>
      <c r="Q18" s="35">
        <f t="shared" si="12"/>
        <v>-9.6730444656962955E-2</v>
      </c>
      <c r="S18" s="29">
        <f t="shared" si="13"/>
        <v>123.46324651012857</v>
      </c>
      <c r="T18" s="52">
        <f t="shared" si="14"/>
        <v>137.3059655044259</v>
      </c>
      <c r="U18" s="35">
        <f t="shared" si="1"/>
        <v>-0.10081658829201512</v>
      </c>
      <c r="W18" s="82">
        <v>2.7000000000000001E-3</v>
      </c>
      <c r="X18" s="34">
        <f t="shared" si="15"/>
        <v>-9.6730444656962955E-2</v>
      </c>
      <c r="Y18" s="34">
        <f t="shared" si="16"/>
        <v>-9.9430444656962949E-2</v>
      </c>
      <c r="AA18" s="35">
        <f t="shared" si="2"/>
        <v>2.7000000000000001E-3</v>
      </c>
      <c r="AB18" s="34">
        <f t="shared" si="3"/>
        <v>-9.6730444656962955E-2</v>
      </c>
      <c r="AC18" s="35">
        <f t="shared" si="17"/>
        <v>1.4589587026075256E-2</v>
      </c>
      <c r="AD18" s="34">
        <f t="shared" si="18"/>
        <v>-0.11132003168303821</v>
      </c>
      <c r="AH18" s="116" t="s">
        <v>45</v>
      </c>
      <c r="AI18" s="117"/>
      <c r="AJ18" s="35">
        <f>STDEV(AD4:AD122)</f>
        <v>4.4428570435959089E-2</v>
      </c>
    </row>
    <row r="19" spans="1:38" x14ac:dyDescent="0.2">
      <c r="A19" s="26">
        <v>42521</v>
      </c>
      <c r="B19" s="27">
        <v>53</v>
      </c>
      <c r="C19" s="33">
        <f t="shared" si="4"/>
        <v>6.2763207041379054E-2</v>
      </c>
      <c r="D19" s="27">
        <v>46.720001220703125</v>
      </c>
      <c r="E19" s="33">
        <f t="shared" si="5"/>
        <v>0.31494519633720341</v>
      </c>
      <c r="F19" s="27">
        <v>735.719970703125</v>
      </c>
      <c r="G19" s="33">
        <f t="shared" si="6"/>
        <v>6.1629645078206563E-2</v>
      </c>
      <c r="H19" s="27">
        <v>223.22999572753906</v>
      </c>
      <c r="I19" s="33">
        <f t="shared" si="7"/>
        <v>-7.2811094780113605E-2</v>
      </c>
      <c r="K19" s="34">
        <f t="shared" si="8"/>
        <v>6.2763207041379054E-2</v>
      </c>
      <c r="L19" s="34">
        <f t="shared" si="19"/>
        <v>0.31494519633720341</v>
      </c>
      <c r="M19" s="34">
        <f t="shared" si="9"/>
        <v>6.1629645078206563E-2</v>
      </c>
      <c r="N19" s="34">
        <f t="shared" si="10"/>
        <v>-7.2811094780113605E-2</v>
      </c>
      <c r="P19" s="35">
        <f t="shared" si="11"/>
        <v>6.2465375378186035E-2</v>
      </c>
      <c r="Q19" s="35" t="str">
        <f t="shared" si="12"/>
        <v/>
      </c>
      <c r="S19" s="29">
        <f t="shared" si="13"/>
        <v>131.17542454879327</v>
      </c>
      <c r="T19" s="52">
        <f t="shared" si="14"/>
        <v>137.3059655044259</v>
      </c>
      <c r="U19" s="35">
        <f t="shared" si="1"/>
        <v>-4.4648758945837752E-2</v>
      </c>
      <c r="W19" s="82">
        <v>1.5299999999999999E-2</v>
      </c>
      <c r="X19" s="34">
        <f t="shared" si="15"/>
        <v>6.2465375378186035E-2</v>
      </c>
      <c r="Y19" s="34">
        <f t="shared" si="16"/>
        <v>4.7165375378186034E-2</v>
      </c>
      <c r="AA19" s="35">
        <f t="shared" si="2"/>
        <v>1.5299999999999999E-2</v>
      </c>
      <c r="AB19" s="34">
        <f t="shared" si="3"/>
        <v>6.2465375378186035E-2</v>
      </c>
      <c r="AC19" s="35">
        <f t="shared" si="17"/>
        <v>2.6860370558743744E-2</v>
      </c>
      <c r="AD19" s="34">
        <f t="shared" si="18"/>
        <v>3.5605004819442287E-2</v>
      </c>
      <c r="AH19" s="116" t="s">
        <v>46</v>
      </c>
      <c r="AI19" s="117"/>
      <c r="AJ19" s="35">
        <f>AJ13/(AJ18*SQRT(12))</f>
        <v>0.93253321146708912</v>
      </c>
    </row>
    <row r="20" spans="1:38" ht="17" thickBot="1" x14ac:dyDescent="0.25">
      <c r="A20" s="26">
        <v>42551</v>
      </c>
      <c r="B20" s="27">
        <v>51.169998168945312</v>
      </c>
      <c r="C20" s="33">
        <f t="shared" si="4"/>
        <v>-3.4528336434994089E-2</v>
      </c>
      <c r="D20" s="27">
        <v>47.009998321533203</v>
      </c>
      <c r="E20" s="33">
        <f t="shared" si="5"/>
        <v>6.2071295644909874E-3</v>
      </c>
      <c r="F20" s="27">
        <v>692.0999755859375</v>
      </c>
      <c r="G20" s="33">
        <f t="shared" si="6"/>
        <v>-5.928885561649222E-2</v>
      </c>
      <c r="H20" s="27">
        <v>212.27999877929688</v>
      </c>
      <c r="I20" s="33">
        <f t="shared" si="7"/>
        <v>-4.9052533968629741E-2</v>
      </c>
      <c r="K20" s="34">
        <f t="shared" si="8"/>
        <v>-3.4528336434994089E-2</v>
      </c>
      <c r="L20" s="34">
        <f t="shared" si="19"/>
        <v>6.2071295644909874E-3</v>
      </c>
      <c r="M20" s="34">
        <f t="shared" si="9"/>
        <v>-5.928885561649222E-2</v>
      </c>
      <c r="N20" s="34">
        <f t="shared" si="10"/>
        <v>-4.9052533968629741E-2</v>
      </c>
      <c r="P20" s="35">
        <f t="shared" si="11"/>
        <v>-3.4560243410356489E-2</v>
      </c>
      <c r="Q20" s="35">
        <f t="shared" si="12"/>
        <v>-3.4560243410356489E-2</v>
      </c>
      <c r="S20" s="29">
        <f t="shared" si="13"/>
        <v>126.64196994693013</v>
      </c>
      <c r="T20" s="52">
        <f t="shared" si="14"/>
        <v>137.3059655044259</v>
      </c>
      <c r="U20" s="35">
        <f t="shared" si="1"/>
        <v>-7.766593037905567E-2</v>
      </c>
      <c r="W20" s="82">
        <v>8.9999999999999998E-4</v>
      </c>
      <c r="X20" s="34">
        <f t="shared" si="15"/>
        <v>-3.4560243410356489E-2</v>
      </c>
      <c r="Y20" s="34">
        <f t="shared" si="16"/>
        <v>-3.5460243410356487E-2</v>
      </c>
      <c r="AA20" s="35">
        <f t="shared" si="2"/>
        <v>8.9999999999999998E-4</v>
      </c>
      <c r="AB20" s="34">
        <f t="shared" si="3"/>
        <v>-3.4560243410356489E-2</v>
      </c>
      <c r="AC20" s="35">
        <f t="shared" si="17"/>
        <v>1.2836617949979758E-2</v>
      </c>
      <c r="AD20" s="34">
        <f t="shared" si="18"/>
        <v>-4.7396861360336245E-2</v>
      </c>
      <c r="AH20" s="94" t="s">
        <v>60</v>
      </c>
      <c r="AI20" s="95"/>
      <c r="AJ20" s="86">
        <f>SKEW(P4:P122)</f>
        <v>0.25216637806650744</v>
      </c>
      <c r="AK20" s="85"/>
    </row>
    <row r="21" spans="1:38" x14ac:dyDescent="0.2">
      <c r="A21" s="26">
        <v>42580</v>
      </c>
      <c r="B21" s="27">
        <v>56.680000305175781</v>
      </c>
      <c r="C21" s="33">
        <f t="shared" si="4"/>
        <v>0.10768032701581065</v>
      </c>
      <c r="D21" s="27">
        <v>57.099998474121094</v>
      </c>
      <c r="E21" s="33">
        <f t="shared" si="5"/>
        <v>0.21463519491269811</v>
      </c>
      <c r="F21" s="27">
        <v>768.78997802734375</v>
      </c>
      <c r="G21" s="33">
        <f t="shared" si="6"/>
        <v>0.1108076941867826</v>
      </c>
      <c r="H21" s="27">
        <v>234.78999328613281</v>
      </c>
      <c r="I21" s="33">
        <f t="shared" si="7"/>
        <v>0.10603916825079263</v>
      </c>
      <c r="K21" s="34">
        <f t="shared" si="8"/>
        <v>0.10768032701581065</v>
      </c>
      <c r="L21" s="34">
        <f t="shared" si="19"/>
        <v>0.21463519491269811</v>
      </c>
      <c r="M21" s="34">
        <f t="shared" si="9"/>
        <v>0.1108076941867826</v>
      </c>
      <c r="N21" s="34">
        <f t="shared" si="10"/>
        <v>0.10603916825079263</v>
      </c>
      <c r="P21" s="35">
        <f t="shared" si="11"/>
        <v>0.107676721693578</v>
      </c>
      <c r="Q21" s="35" t="str">
        <f t="shared" si="12"/>
        <v/>
      </c>
      <c r="S21" s="29">
        <f t="shared" si="13"/>
        <v>140.27836209963218</v>
      </c>
      <c r="T21" s="52">
        <f t="shared" si="14"/>
        <v>140.27836209963218</v>
      </c>
      <c r="U21" s="35">
        <f t="shared" si="1"/>
        <v>0</v>
      </c>
      <c r="W21" s="82">
        <v>3.56E-2</v>
      </c>
      <c r="X21" s="34">
        <f t="shared" si="15"/>
        <v>0.107676721693578</v>
      </c>
      <c r="Y21" s="34">
        <f t="shared" si="16"/>
        <v>7.2076721693578011E-2</v>
      </c>
      <c r="AA21" s="35">
        <f t="shared" si="2"/>
        <v>3.56E-2</v>
      </c>
      <c r="AB21" s="34">
        <f t="shared" si="3"/>
        <v>0.107676721693578</v>
      </c>
      <c r="AC21" s="35">
        <f t="shared" si="17"/>
        <v>4.6629966250265199E-2</v>
      </c>
      <c r="AD21" s="34">
        <f t="shared" si="18"/>
        <v>6.1046755443312804E-2</v>
      </c>
    </row>
    <row r="22" spans="1:38" ht="17" thickBot="1" x14ac:dyDescent="0.25">
      <c r="A22" s="26">
        <v>42613</v>
      </c>
      <c r="B22" s="27">
        <v>57.459999084472656</v>
      </c>
      <c r="C22" s="33">
        <f t="shared" si="4"/>
        <v>1.3761446279061618E-2</v>
      </c>
      <c r="D22" s="27">
        <v>61.340000152587891</v>
      </c>
      <c r="E22" s="33">
        <f t="shared" si="5"/>
        <v>7.4255723148372033E-2</v>
      </c>
      <c r="F22" s="27">
        <v>767.04998779296875</v>
      </c>
      <c r="G22" s="33">
        <f t="shared" si="6"/>
        <v>-2.2632842312014789E-3</v>
      </c>
      <c r="H22" s="27">
        <v>212.00999450683594</v>
      </c>
      <c r="I22" s="33">
        <f t="shared" si="7"/>
        <v>-9.7022869077454499E-2</v>
      </c>
      <c r="K22" s="34">
        <f t="shared" si="8"/>
        <v>1.3761446279061618E-2</v>
      </c>
      <c r="L22" s="34">
        <f t="shared" si="19"/>
        <v>7.4255723148372033E-2</v>
      </c>
      <c r="M22" s="34">
        <f t="shared" si="9"/>
        <v>-2.2632842312014789E-3</v>
      </c>
      <c r="N22" s="34">
        <f t="shared" si="10"/>
        <v>-9.7022869077454499E-2</v>
      </c>
      <c r="P22" s="35">
        <f t="shared" si="11"/>
        <v>1.3518073630594804E-2</v>
      </c>
      <c r="Q22" s="35" t="str">
        <f t="shared" si="12"/>
        <v/>
      </c>
      <c r="S22" s="29">
        <f t="shared" si="13"/>
        <v>142.17465532727425</v>
      </c>
      <c r="T22" s="52">
        <f t="shared" si="14"/>
        <v>142.17465532727425</v>
      </c>
      <c r="U22" s="35">
        <f t="shared" si="1"/>
        <v>0</v>
      </c>
      <c r="W22" s="82">
        <v>-1.1999999999999999E-3</v>
      </c>
      <c r="X22" s="34">
        <f t="shared" si="15"/>
        <v>1.3518073630594804E-2</v>
      </c>
      <c r="Y22" s="34">
        <f t="shared" si="16"/>
        <v>1.4718073630594804E-2</v>
      </c>
      <c r="AA22" s="35">
        <f t="shared" si="2"/>
        <v>-1.1999999999999999E-3</v>
      </c>
      <c r="AB22" s="34">
        <f t="shared" si="3"/>
        <v>1.3518073630594804E-2</v>
      </c>
      <c r="AC22" s="35">
        <f t="shared" si="17"/>
        <v>1.0791487361201677E-2</v>
      </c>
      <c r="AD22" s="34">
        <f t="shared" si="18"/>
        <v>2.7265862693931272E-3</v>
      </c>
      <c r="AH22" s="127" t="s">
        <v>47</v>
      </c>
      <c r="AI22" s="127"/>
      <c r="AJ22" s="127"/>
      <c r="AK22" s="127"/>
      <c r="AL22" s="127"/>
    </row>
    <row r="23" spans="1:38" x14ac:dyDescent="0.2">
      <c r="A23" s="26">
        <v>42643</v>
      </c>
      <c r="B23" s="27">
        <v>57.599998474121094</v>
      </c>
      <c r="C23" s="33">
        <f t="shared" si="4"/>
        <v>2.4364669662215732E-3</v>
      </c>
      <c r="D23" s="27">
        <v>68.519996643066406</v>
      </c>
      <c r="E23" s="33">
        <f t="shared" si="5"/>
        <v>0.1170524367886816</v>
      </c>
      <c r="F23" s="27">
        <v>777.28997802734375</v>
      </c>
      <c r="G23" s="33">
        <f t="shared" si="6"/>
        <v>1.3349834296769281E-2</v>
      </c>
      <c r="H23" s="27">
        <v>204.02999877929688</v>
      </c>
      <c r="I23" s="33">
        <f t="shared" si="7"/>
        <v>-3.7639714797887747E-2</v>
      </c>
      <c r="K23" s="34">
        <f t="shared" si="8"/>
        <v>2.4364669662215732E-3</v>
      </c>
      <c r="L23" s="34">
        <f t="shared" si="19"/>
        <v>0.1170524367886816</v>
      </c>
      <c r="M23" s="34">
        <f t="shared" si="9"/>
        <v>1.3349834296769281E-2</v>
      </c>
      <c r="N23" s="34">
        <f t="shared" si="10"/>
        <v>-3.7639714797887747E-2</v>
      </c>
      <c r="P23" s="35">
        <f t="shared" si="11"/>
        <v>2.3484270079929979E-3</v>
      </c>
      <c r="Q23" s="35" t="str">
        <f t="shared" si="12"/>
        <v/>
      </c>
      <c r="S23" s="29">
        <f t="shared" si="13"/>
        <v>142.50854212769693</v>
      </c>
      <c r="T23" s="52">
        <f t="shared" si="14"/>
        <v>142.50854212769693</v>
      </c>
      <c r="U23" s="35">
        <f t="shared" si="1"/>
        <v>0</v>
      </c>
      <c r="W23" s="82">
        <v>-1.1999999999999999E-3</v>
      </c>
      <c r="X23" s="34">
        <f t="shared" si="15"/>
        <v>2.3484270079929979E-3</v>
      </c>
      <c r="Y23" s="34">
        <f t="shared" si="16"/>
        <v>3.5484270079929976E-3</v>
      </c>
      <c r="AA23" s="35">
        <f t="shared" si="2"/>
        <v>-1.1999999999999999E-3</v>
      </c>
      <c r="AB23" s="34">
        <f t="shared" si="3"/>
        <v>2.3484270079929979E-3</v>
      </c>
      <c r="AC23" s="35">
        <f t="shared" si="17"/>
        <v>1.0791487361201677E-2</v>
      </c>
      <c r="AD23" s="34">
        <f t="shared" si="18"/>
        <v>-8.4430603532086798E-3</v>
      </c>
      <c r="AH23" s="66"/>
      <c r="AI23" s="71" t="s">
        <v>48</v>
      </c>
      <c r="AJ23" s="71" t="s">
        <v>49</v>
      </c>
      <c r="AK23" s="71" t="s">
        <v>50</v>
      </c>
      <c r="AL23" s="71" t="s">
        <v>51</v>
      </c>
    </row>
    <row r="24" spans="1:38" x14ac:dyDescent="0.2">
      <c r="A24" s="26">
        <v>42674</v>
      </c>
      <c r="B24" s="27">
        <v>59.919998168945312</v>
      </c>
      <c r="C24" s="33">
        <f t="shared" si="4"/>
        <v>4.0277773546583795E-2</v>
      </c>
      <c r="D24" s="27">
        <v>71.160003662109375</v>
      </c>
      <c r="E24" s="33">
        <f t="shared" si="5"/>
        <v>3.8529000997989948E-2</v>
      </c>
      <c r="F24" s="27">
        <v>784.53997802734375</v>
      </c>
      <c r="G24" s="33">
        <f t="shared" si="6"/>
        <v>9.3272783709363871E-3</v>
      </c>
      <c r="H24" s="27">
        <v>197.72999572753906</v>
      </c>
      <c r="I24" s="33">
        <f t="shared" si="7"/>
        <v>-3.0877827228596111E-2</v>
      </c>
      <c r="K24" s="34">
        <f t="shared" si="8"/>
        <v>4.0277773546583795E-2</v>
      </c>
      <c r="L24" s="34">
        <f t="shared" si="19"/>
        <v>3.8529000997989948E-2</v>
      </c>
      <c r="M24" s="34">
        <f t="shared" si="9"/>
        <v>9.3272783709363871E-3</v>
      </c>
      <c r="N24" s="34">
        <f t="shared" si="10"/>
        <v>-3.0877827228596111E-2</v>
      </c>
      <c r="P24" s="35">
        <f t="shared" si="11"/>
        <v>4.0121457853715452E-2</v>
      </c>
      <c r="Q24" s="35" t="str">
        <f t="shared" si="12"/>
        <v/>
      </c>
      <c r="S24" s="29">
        <f t="shared" si="13"/>
        <v>148.22619259446776</v>
      </c>
      <c r="T24" s="52">
        <f t="shared" si="14"/>
        <v>148.22619259446776</v>
      </c>
      <c r="U24" s="35">
        <f t="shared" si="1"/>
        <v>0</v>
      </c>
      <c r="W24" s="82">
        <v>-1.9400000000000001E-2</v>
      </c>
      <c r="X24" s="34">
        <f t="shared" si="15"/>
        <v>4.0121457853715452E-2</v>
      </c>
      <c r="Y24" s="34">
        <f t="shared" si="16"/>
        <v>5.9521457853715452E-2</v>
      </c>
      <c r="AA24" s="35">
        <f t="shared" si="2"/>
        <v>-1.9400000000000001E-2</v>
      </c>
      <c r="AB24" s="34">
        <f t="shared" si="3"/>
        <v>4.0121457853715452E-2</v>
      </c>
      <c r="AC24" s="35">
        <f t="shared" si="17"/>
        <v>-6.9329777415416977E-3</v>
      </c>
      <c r="AD24" s="34">
        <f t="shared" si="18"/>
        <v>4.7054435595257148E-2</v>
      </c>
      <c r="AH24" s="69" t="s">
        <v>48</v>
      </c>
      <c r="AI24">
        <v>1</v>
      </c>
    </row>
    <row r="25" spans="1:38" x14ac:dyDescent="0.2">
      <c r="A25" s="26">
        <v>42704</v>
      </c>
      <c r="B25" s="27">
        <v>60.259998321533203</v>
      </c>
      <c r="C25" s="33">
        <f t="shared" si="4"/>
        <v>5.6742350296683508E-3</v>
      </c>
      <c r="D25" s="27">
        <v>92.199996948242188</v>
      </c>
      <c r="E25" s="33">
        <f t="shared" si="5"/>
        <v>0.29567161612353865</v>
      </c>
      <c r="F25" s="27">
        <v>758.03997802734375</v>
      </c>
      <c r="G25" s="33">
        <f t="shared" si="6"/>
        <v>-3.3777756063664066E-2</v>
      </c>
      <c r="H25" s="27">
        <v>189.39999389648438</v>
      </c>
      <c r="I25" s="33">
        <f t="shared" si="7"/>
        <v>-4.2128164724855255E-2</v>
      </c>
      <c r="K25" s="34">
        <f t="shared" si="8"/>
        <v>5.6742350296683508E-3</v>
      </c>
      <c r="L25" s="34">
        <f t="shared" si="19"/>
        <v>0.29567161612353865</v>
      </c>
      <c r="M25" s="34">
        <f t="shared" si="9"/>
        <v>-3.3777756063664066E-2</v>
      </c>
      <c r="N25" s="34">
        <f t="shared" si="10"/>
        <v>-4.2128164724855255E-2</v>
      </c>
      <c r="P25" s="35">
        <f t="shared" si="11"/>
        <v>5.5692219996749904E-3</v>
      </c>
      <c r="Q25" s="35" t="str">
        <f t="shared" si="12"/>
        <v/>
      </c>
      <c r="S25" s="29">
        <f t="shared" si="13"/>
        <v>149.05169716719294</v>
      </c>
      <c r="T25" s="52">
        <f t="shared" si="14"/>
        <v>149.05169716719294</v>
      </c>
      <c r="U25" s="35">
        <f t="shared" si="1"/>
        <v>0</v>
      </c>
      <c r="W25" s="82">
        <v>3.4200000000000001E-2</v>
      </c>
      <c r="X25" s="34">
        <f t="shared" si="15"/>
        <v>5.5692219996749904E-3</v>
      </c>
      <c r="Y25" s="34">
        <f t="shared" si="16"/>
        <v>-2.863077800032501E-2</v>
      </c>
      <c r="AA25" s="35">
        <f t="shared" si="2"/>
        <v>3.4200000000000001E-2</v>
      </c>
      <c r="AB25" s="34">
        <f t="shared" si="3"/>
        <v>5.5692219996749904E-3</v>
      </c>
      <c r="AC25" s="35">
        <f t="shared" si="17"/>
        <v>4.5266545857746476E-2</v>
      </c>
      <c r="AD25" s="34">
        <f t="shared" si="18"/>
        <v>-3.9697323858071489E-2</v>
      </c>
      <c r="AH25" s="69" t="s">
        <v>49</v>
      </c>
      <c r="AI25" s="68">
        <v>0.56844766335322583</v>
      </c>
      <c r="AJ25">
        <v>1</v>
      </c>
    </row>
    <row r="26" spans="1:38" x14ac:dyDescent="0.2">
      <c r="A26" s="26">
        <v>42734</v>
      </c>
      <c r="B26" s="27">
        <v>62.139999389648438</v>
      </c>
      <c r="C26" s="33">
        <f t="shared" si="4"/>
        <v>3.119815998141906E-2</v>
      </c>
      <c r="D26" s="27">
        <v>106.73999786376953</v>
      </c>
      <c r="E26" s="33">
        <f t="shared" si="5"/>
        <v>0.1577006659088025</v>
      </c>
      <c r="F26" s="27">
        <v>771.82000732421875</v>
      </c>
      <c r="G26" s="33">
        <f t="shared" si="6"/>
        <v>1.8178499414681193E-2</v>
      </c>
      <c r="H26" s="27">
        <v>213.69000244140625</v>
      </c>
      <c r="I26" s="33">
        <f t="shared" si="7"/>
        <v>0.12824714534150128</v>
      </c>
      <c r="K26" s="34">
        <f t="shared" si="8"/>
        <v>3.119815998141906E-2</v>
      </c>
      <c r="L26" s="34">
        <f t="shared" si="19"/>
        <v>0.1577006659088025</v>
      </c>
      <c r="M26" s="34">
        <f t="shared" si="9"/>
        <v>1.8178499414681193E-2</v>
      </c>
      <c r="N26" s="34">
        <f t="shared" si="10"/>
        <v>0.12824714534150128</v>
      </c>
      <c r="P26" s="35">
        <f t="shared" si="11"/>
        <v>3.1411358650581721E-2</v>
      </c>
      <c r="Q26" s="35" t="str">
        <f t="shared" si="12"/>
        <v/>
      </c>
      <c r="S26" s="29">
        <f t="shared" si="13"/>
        <v>153.73361348438954</v>
      </c>
      <c r="T26" s="52">
        <f t="shared" si="14"/>
        <v>153.73361348438954</v>
      </c>
      <c r="U26" s="35">
        <f t="shared" si="1"/>
        <v>0</v>
      </c>
      <c r="W26" s="82">
        <v>1.8200000000000001E-2</v>
      </c>
      <c r="X26" s="34">
        <f t="shared" si="15"/>
        <v>3.1411358650581721E-2</v>
      </c>
      <c r="Y26" s="34">
        <f t="shared" si="16"/>
        <v>1.321135865058172E-2</v>
      </c>
      <c r="AA26" s="35">
        <f t="shared" si="2"/>
        <v>1.8200000000000001E-2</v>
      </c>
      <c r="AB26" s="34">
        <f t="shared" si="3"/>
        <v>3.1411358650581721E-2</v>
      </c>
      <c r="AC26" s="35">
        <f t="shared" si="17"/>
        <v>2.9684598514675385E-2</v>
      </c>
      <c r="AD26" s="34">
        <f t="shared" si="18"/>
        <v>1.7267601359063356E-3</v>
      </c>
      <c r="AH26" s="69" t="s">
        <v>50</v>
      </c>
      <c r="AI26" s="68">
        <v>0.63022310817603</v>
      </c>
      <c r="AJ26" s="68">
        <v>0.49516883118522514</v>
      </c>
      <c r="AK26">
        <v>1</v>
      </c>
    </row>
    <row r="27" spans="1:38" ht="17" thickBot="1" x14ac:dyDescent="0.25">
      <c r="A27" s="26">
        <v>42766</v>
      </c>
      <c r="B27" s="27">
        <v>64.650001525878906</v>
      </c>
      <c r="C27" s="33">
        <f t="shared" si="4"/>
        <v>4.0392696506022174E-2</v>
      </c>
      <c r="D27" s="27">
        <v>109.18000030517578</v>
      </c>
      <c r="E27" s="33">
        <f t="shared" si="5"/>
        <v>2.2859307572034915E-2</v>
      </c>
      <c r="F27" s="27">
        <v>796.78997802734375</v>
      </c>
      <c r="G27" s="33">
        <f t="shared" si="6"/>
        <v>3.2352064556724791E-2</v>
      </c>
      <c r="H27" s="27">
        <v>251.92999267578125</v>
      </c>
      <c r="I27" s="33">
        <f t="shared" si="7"/>
        <v>0.17895076885901751</v>
      </c>
      <c r="K27" s="34">
        <f t="shared" si="8"/>
        <v>4.0392696506022174E-2</v>
      </c>
      <c r="L27" s="34">
        <f t="shared" si="19"/>
        <v>2.2859307572034915E-2</v>
      </c>
      <c r="M27" s="34">
        <f t="shared" si="9"/>
        <v>3.2352064556724791E-2</v>
      </c>
      <c r="N27" s="34">
        <f t="shared" si="10"/>
        <v>0.17895076885901751</v>
      </c>
      <c r="P27" s="35">
        <f t="shared" si="11"/>
        <v>4.0697082961148906E-2</v>
      </c>
      <c r="Q27" s="35" t="str">
        <f t="shared" si="12"/>
        <v/>
      </c>
      <c r="S27" s="29">
        <f t="shared" si="13"/>
        <v>159.99012310628092</v>
      </c>
      <c r="T27" s="52">
        <f t="shared" si="14"/>
        <v>159.99012310628092</v>
      </c>
      <c r="U27" s="35">
        <f t="shared" si="1"/>
        <v>0</v>
      </c>
      <c r="W27" s="82">
        <v>1.7899999999999999E-2</v>
      </c>
      <c r="X27" s="34">
        <f t="shared" si="15"/>
        <v>4.0697082961148906E-2</v>
      </c>
      <c r="Y27" s="34">
        <f t="shared" si="16"/>
        <v>2.2797082961148907E-2</v>
      </c>
      <c r="AA27" s="35">
        <f t="shared" si="2"/>
        <v>1.7899999999999999E-2</v>
      </c>
      <c r="AB27" s="34">
        <f t="shared" si="3"/>
        <v>4.0697082961148906E-2</v>
      </c>
      <c r="AC27" s="35">
        <f t="shared" si="17"/>
        <v>2.9392437001992795E-2</v>
      </c>
      <c r="AD27" s="34">
        <f t="shared" si="18"/>
        <v>1.1304645959156111E-2</v>
      </c>
      <c r="AH27" s="70" t="s">
        <v>51</v>
      </c>
      <c r="AI27" s="67">
        <v>0.35838803120156315</v>
      </c>
      <c r="AJ27" s="67">
        <v>0.30493753173674992</v>
      </c>
      <c r="AK27" s="67">
        <v>0.33162452258280073</v>
      </c>
      <c r="AL27" s="65">
        <v>1</v>
      </c>
    </row>
    <row r="28" spans="1:38" x14ac:dyDescent="0.2">
      <c r="A28" s="26">
        <v>42794</v>
      </c>
      <c r="B28" s="27">
        <v>63.979999542236328</v>
      </c>
      <c r="C28" s="33">
        <f t="shared" si="4"/>
        <v>-1.0363526184518079E-2</v>
      </c>
      <c r="D28" s="27">
        <v>101.48000335693359</v>
      </c>
      <c r="E28" s="33">
        <f t="shared" si="5"/>
        <v>-7.0525709165776274E-2</v>
      </c>
      <c r="F28" s="27">
        <v>823.21002197265625</v>
      </c>
      <c r="G28" s="33">
        <f t="shared" si="6"/>
        <v>3.3158102729557548E-2</v>
      </c>
      <c r="H28" s="27">
        <v>249.99000549316406</v>
      </c>
      <c r="I28" s="33">
        <f t="shared" si="7"/>
        <v>-7.7005010876725066E-3</v>
      </c>
      <c r="K28" s="34">
        <f t="shared" si="8"/>
        <v>-1.0363526184518079E-2</v>
      </c>
      <c r="L28" s="34">
        <f t="shared" si="19"/>
        <v>-7.0525709165776274E-2</v>
      </c>
      <c r="M28" s="34">
        <f t="shared" si="9"/>
        <v>3.3158102729557548E-2</v>
      </c>
      <c r="N28" s="34">
        <f t="shared" si="10"/>
        <v>-7.7005010876725066E-3</v>
      </c>
      <c r="P28" s="35">
        <f t="shared" si="11"/>
        <v>-1.0357676010974416E-2</v>
      </c>
      <c r="Q28" s="35">
        <f t="shared" si="12"/>
        <v>-1.0357676010974416E-2</v>
      </c>
      <c r="S28" s="29">
        <f t="shared" si="13"/>
        <v>158.33299724619016</v>
      </c>
      <c r="T28" s="52">
        <f t="shared" si="14"/>
        <v>159.99012310628092</v>
      </c>
      <c r="U28" s="35">
        <f t="shared" si="1"/>
        <v>-1.035767601097437E-2</v>
      </c>
      <c r="W28" s="82">
        <v>3.7199999999999997E-2</v>
      </c>
      <c r="X28" s="34">
        <f t="shared" si="15"/>
        <v>-1.0357676010974416E-2</v>
      </c>
      <c r="Y28" s="34">
        <f t="shared" si="16"/>
        <v>-4.7557676010974409E-2</v>
      </c>
      <c r="AA28" s="35">
        <f t="shared" si="2"/>
        <v>3.7199999999999997E-2</v>
      </c>
      <c r="AB28" s="34">
        <f t="shared" si="3"/>
        <v>-1.0357676010974416E-2</v>
      </c>
      <c r="AC28" s="35">
        <f t="shared" si="17"/>
        <v>4.8188160984572306E-2</v>
      </c>
      <c r="AD28" s="34">
        <f t="shared" si="18"/>
        <v>-5.8545836995546718E-2</v>
      </c>
    </row>
    <row r="29" spans="1:38" ht="17" thickBot="1" x14ac:dyDescent="0.25">
      <c r="A29" s="26">
        <v>42825</v>
      </c>
      <c r="B29" s="27">
        <v>65.860000610351562</v>
      </c>
      <c r="C29" s="33">
        <f t="shared" si="4"/>
        <v>2.9384199461804483E-2</v>
      </c>
      <c r="D29" s="27">
        <v>108.93000030517578</v>
      </c>
      <c r="E29" s="33">
        <f t="shared" si="5"/>
        <v>7.3413447987762392E-2</v>
      </c>
      <c r="F29" s="27">
        <v>829.55999755859375</v>
      </c>
      <c r="G29" s="33">
        <f t="shared" si="6"/>
        <v>7.7136762386846858E-3</v>
      </c>
      <c r="H29" s="27">
        <v>278.29998779296875</v>
      </c>
      <c r="I29" s="33">
        <f t="shared" si="7"/>
        <v>0.11324445648919679</v>
      </c>
      <c r="K29" s="34">
        <f t="shared" si="8"/>
        <v>2.9384199461804483E-2</v>
      </c>
      <c r="L29" s="34">
        <f t="shared" si="19"/>
        <v>7.3413447987762392E-2</v>
      </c>
      <c r="M29" s="34">
        <f t="shared" si="9"/>
        <v>7.7136762386846858E-3</v>
      </c>
      <c r="N29" s="34">
        <f t="shared" si="10"/>
        <v>0.11324445648919679</v>
      </c>
      <c r="P29" s="35">
        <f t="shared" si="11"/>
        <v>2.9568424934410323E-2</v>
      </c>
      <c r="Q29" s="35" t="str">
        <f t="shared" si="12"/>
        <v/>
      </c>
      <c r="S29" s="29">
        <f t="shared" si="13"/>
        <v>163.01465458990432</v>
      </c>
      <c r="T29" s="52">
        <f t="shared" si="14"/>
        <v>163.01465458990432</v>
      </c>
      <c r="U29" s="35">
        <f t="shared" si="1"/>
        <v>0</v>
      </c>
      <c r="W29" s="82">
        <v>-4.0000000000000002E-4</v>
      </c>
      <c r="X29" s="34">
        <f t="shared" si="15"/>
        <v>2.9568424934410323E-2</v>
      </c>
      <c r="Y29" s="34">
        <f t="shared" si="16"/>
        <v>2.9968424934410324E-2</v>
      </c>
      <c r="AA29" s="35">
        <f t="shared" si="2"/>
        <v>-4.0000000000000002E-4</v>
      </c>
      <c r="AB29" s="34">
        <f t="shared" si="3"/>
        <v>2.9568424934410323E-2</v>
      </c>
      <c r="AC29" s="35">
        <f t="shared" si="17"/>
        <v>1.1570584728355232E-2</v>
      </c>
      <c r="AD29" s="34">
        <f t="shared" si="18"/>
        <v>1.7997840206055091E-2</v>
      </c>
    </row>
    <row r="30" spans="1:38" ht="17" thickBot="1" x14ac:dyDescent="0.25">
      <c r="A30" s="26">
        <v>42853</v>
      </c>
      <c r="B30" s="27">
        <v>68.459999084472656</v>
      </c>
      <c r="C30" s="33">
        <f t="shared" si="4"/>
        <v>3.9477656392739924E-2</v>
      </c>
      <c r="D30" s="27">
        <v>104.30000305175781</v>
      </c>
      <c r="E30" s="33">
        <f t="shared" si="5"/>
        <v>-4.2504335265277526E-2</v>
      </c>
      <c r="F30" s="27">
        <v>905.96002197265625</v>
      </c>
      <c r="G30" s="33">
        <f t="shared" si="6"/>
        <v>9.2097044986388932E-2</v>
      </c>
      <c r="H30" s="27">
        <v>314.07000732421875</v>
      </c>
      <c r="I30" s="33">
        <f t="shared" si="7"/>
        <v>0.12853043873598669</v>
      </c>
      <c r="K30" s="34">
        <f t="shared" si="8"/>
        <v>3.9477656392739924E-2</v>
      </c>
      <c r="L30" s="34">
        <f t="shared" si="19"/>
        <v>-4.2504335265277526E-2</v>
      </c>
      <c r="M30" s="34">
        <f t="shared" si="9"/>
        <v>9.2097044986388932E-2</v>
      </c>
      <c r="N30" s="34">
        <f t="shared" si="10"/>
        <v>0.12853043873598669</v>
      </c>
      <c r="P30" s="35">
        <f t="shared" si="11"/>
        <v>3.9673288882975333E-2</v>
      </c>
      <c r="Q30" s="35" t="str">
        <f t="shared" si="12"/>
        <v/>
      </c>
      <c r="S30" s="29">
        <f t="shared" si="13"/>
        <v>169.48198207360804</v>
      </c>
      <c r="T30" s="52">
        <f t="shared" si="14"/>
        <v>169.48198207360804</v>
      </c>
      <c r="U30" s="35">
        <f t="shared" si="1"/>
        <v>0</v>
      </c>
      <c r="W30" s="82">
        <v>9.1000000000000004E-3</v>
      </c>
      <c r="X30" s="34">
        <f t="shared" si="15"/>
        <v>3.9673288882975333E-2</v>
      </c>
      <c r="Y30" s="34">
        <f t="shared" si="16"/>
        <v>3.0573288882975332E-2</v>
      </c>
      <c r="AA30" s="35">
        <f t="shared" si="2"/>
        <v>9.1000000000000004E-3</v>
      </c>
      <c r="AB30" s="34">
        <f t="shared" si="3"/>
        <v>3.9673288882975333E-2</v>
      </c>
      <c r="AC30" s="35">
        <f t="shared" si="17"/>
        <v>2.0822365963303696E-2</v>
      </c>
      <c r="AD30" s="34">
        <f t="shared" si="18"/>
        <v>1.8850922919671637E-2</v>
      </c>
      <c r="AI30" s="56" t="s">
        <v>52</v>
      </c>
      <c r="AJ30" s="57">
        <f>INDEX(A:A,MATCH(AJ11,U:U,0))</f>
        <v>44865</v>
      </c>
    </row>
    <row r="31" spans="1:38" x14ac:dyDescent="0.2">
      <c r="A31" s="26">
        <v>42886</v>
      </c>
      <c r="B31" s="27">
        <v>69.839996337890625</v>
      </c>
      <c r="C31" s="33">
        <f t="shared" si="4"/>
        <v>2.015771650413245E-2</v>
      </c>
      <c r="D31" s="27">
        <v>144.35000610351562</v>
      </c>
      <c r="E31" s="33">
        <f t="shared" si="5"/>
        <v>0.38398851275089041</v>
      </c>
      <c r="F31" s="27">
        <v>964.8599853515625</v>
      </c>
      <c r="G31" s="33">
        <f t="shared" si="6"/>
        <v>6.5013865899574919E-2</v>
      </c>
      <c r="H31" s="27">
        <v>341.010009765625</v>
      </c>
      <c r="I31" s="33">
        <f t="shared" si="7"/>
        <v>8.5777061843398839E-2</v>
      </c>
      <c r="K31" s="34">
        <f t="shared" si="8"/>
        <v>2.015771650413245E-2</v>
      </c>
      <c r="L31" s="34">
        <f t="shared" si="19"/>
        <v>0.38398851275089041</v>
      </c>
      <c r="M31" s="34">
        <f t="shared" si="9"/>
        <v>6.5013865899574919E-2</v>
      </c>
      <c r="N31" s="34">
        <f t="shared" si="10"/>
        <v>8.5777061843398839E-2</v>
      </c>
      <c r="P31" s="35">
        <f t="shared" si="11"/>
        <v>2.0301870067879143E-2</v>
      </c>
      <c r="Q31" s="35" t="str">
        <f t="shared" si="12"/>
        <v/>
      </c>
      <c r="S31" s="29">
        <f t="shared" si="13"/>
        <v>172.92278325251306</v>
      </c>
      <c r="T31" s="52">
        <f t="shared" si="14"/>
        <v>172.92278325251306</v>
      </c>
      <c r="U31" s="35">
        <f t="shared" si="1"/>
        <v>0</v>
      </c>
      <c r="W31" s="82">
        <v>1.1599999999999999E-2</v>
      </c>
      <c r="X31" s="34">
        <f t="shared" si="15"/>
        <v>2.0301870067879143E-2</v>
      </c>
      <c r="Y31" s="34">
        <f t="shared" si="16"/>
        <v>8.7018700678791437E-3</v>
      </c>
      <c r="AA31" s="35">
        <f t="shared" si="2"/>
        <v>1.1599999999999999E-2</v>
      </c>
      <c r="AB31" s="34">
        <f t="shared" si="3"/>
        <v>2.0301870067879143E-2</v>
      </c>
      <c r="AC31" s="35">
        <f t="shared" si="17"/>
        <v>2.3257045235658552E-2</v>
      </c>
      <c r="AD31" s="34">
        <f t="shared" si="18"/>
        <v>-2.9551751677794093E-3</v>
      </c>
    </row>
    <row r="32" spans="1:38" x14ac:dyDescent="0.2">
      <c r="A32" s="26">
        <v>42916</v>
      </c>
      <c r="B32" s="27">
        <v>68.930000305175781</v>
      </c>
      <c r="C32" s="33">
        <f t="shared" si="4"/>
        <v>-1.3029726237559047E-2</v>
      </c>
      <c r="D32" s="27">
        <v>144.55999755859375</v>
      </c>
      <c r="E32" s="33">
        <f t="shared" si="5"/>
        <v>1.4547381101428503E-3</v>
      </c>
      <c r="F32" s="27">
        <v>908.72998046875</v>
      </c>
      <c r="G32" s="33">
        <f t="shared" si="6"/>
        <v>-5.8174248839183207E-2</v>
      </c>
      <c r="H32" s="27">
        <v>361.6099853515625</v>
      </c>
      <c r="I32" s="33">
        <f t="shared" si="7"/>
        <v>6.0408712342771897E-2</v>
      </c>
      <c r="K32" s="34">
        <f t="shared" si="8"/>
        <v>-1.3029726237559047E-2</v>
      </c>
      <c r="L32" s="34">
        <f t="shared" si="19"/>
        <v>1.4547381101428503E-3</v>
      </c>
      <c r="M32" s="34">
        <f t="shared" si="9"/>
        <v>-5.8174248839183207E-2</v>
      </c>
      <c r="N32" s="34">
        <f t="shared" si="10"/>
        <v>6.0408712342771897E-2</v>
      </c>
      <c r="P32" s="35">
        <f t="shared" si="11"/>
        <v>-1.286839557230156E-2</v>
      </c>
      <c r="Q32" s="35">
        <f t="shared" si="12"/>
        <v>-1.286839557230156E-2</v>
      </c>
      <c r="S32" s="29">
        <f t="shared" si="13"/>
        <v>170.69754447415636</v>
      </c>
      <c r="T32" s="52">
        <f t="shared" si="14"/>
        <v>172.92278325251306</v>
      </c>
      <c r="U32" s="35">
        <f t="shared" si="1"/>
        <v>-1.2868395572301572E-2</v>
      </c>
      <c r="W32" s="82">
        <v>4.7999999999999996E-3</v>
      </c>
      <c r="X32" s="34">
        <f t="shared" si="15"/>
        <v>-1.286839557230156E-2</v>
      </c>
      <c r="Y32" s="34">
        <f t="shared" si="16"/>
        <v>-1.766839557230156E-2</v>
      </c>
      <c r="AA32" s="35">
        <f t="shared" si="2"/>
        <v>4.7999999999999996E-3</v>
      </c>
      <c r="AB32" s="34">
        <f t="shared" si="3"/>
        <v>-1.286839557230156E-2</v>
      </c>
      <c r="AC32" s="35">
        <f t="shared" si="17"/>
        <v>1.6634717614853339E-2</v>
      </c>
      <c r="AD32" s="34">
        <f t="shared" si="18"/>
        <v>-2.95031131871549E-2</v>
      </c>
    </row>
    <row r="33" spans="1:30" x14ac:dyDescent="0.2">
      <c r="A33" s="26">
        <v>42947</v>
      </c>
      <c r="B33" s="27">
        <v>72.699996948242188</v>
      </c>
      <c r="C33" s="33">
        <f t="shared" si="4"/>
        <v>5.4693118038232846E-2</v>
      </c>
      <c r="D33" s="27">
        <v>162.50999450683594</v>
      </c>
      <c r="E33" s="33">
        <f t="shared" si="5"/>
        <v>0.1241698758397296</v>
      </c>
      <c r="F33" s="27">
        <v>930.5</v>
      </c>
      <c r="G33" s="33">
        <f t="shared" si="6"/>
        <v>2.395653274256504E-2</v>
      </c>
      <c r="H33" s="27">
        <v>323.47000122070312</v>
      </c>
      <c r="I33" s="33">
        <f t="shared" si="7"/>
        <v>-0.10547270726990332</v>
      </c>
      <c r="K33" s="34">
        <f t="shared" si="8"/>
        <v>5.4693118038232846E-2</v>
      </c>
      <c r="L33" s="34">
        <f t="shared" si="19"/>
        <v>0.1241698758397296</v>
      </c>
      <c r="M33" s="34">
        <f t="shared" si="9"/>
        <v>2.395653274256504E-2</v>
      </c>
      <c r="N33" s="34">
        <f t="shared" si="10"/>
        <v>-0.10547270726990332</v>
      </c>
      <c r="P33" s="35">
        <f t="shared" si="11"/>
        <v>5.4341263346766214E-2</v>
      </c>
      <c r="Q33" s="35" t="str">
        <f t="shared" si="12"/>
        <v/>
      </c>
      <c r="S33" s="29">
        <f t="shared" si="13"/>
        <v>179.97346469107282</v>
      </c>
      <c r="T33" s="52">
        <f t="shared" si="14"/>
        <v>179.97346469107282</v>
      </c>
      <c r="U33" s="35">
        <f t="shared" si="1"/>
        <v>0</v>
      </c>
      <c r="W33" s="82">
        <v>1.9300000000000001E-2</v>
      </c>
      <c r="X33" s="34">
        <f t="shared" si="15"/>
        <v>5.4341263346766214E-2</v>
      </c>
      <c r="Y33" s="34">
        <f t="shared" si="16"/>
        <v>3.5041263346766216E-2</v>
      </c>
      <c r="AA33" s="35">
        <f t="shared" si="2"/>
        <v>1.9300000000000001E-2</v>
      </c>
      <c r="AB33" s="34">
        <f t="shared" si="3"/>
        <v>5.4341263346766214E-2</v>
      </c>
      <c r="AC33" s="35">
        <f t="shared" si="17"/>
        <v>3.0755857394511518E-2</v>
      </c>
      <c r="AD33" s="34">
        <f t="shared" si="18"/>
        <v>2.3585405952254695E-2</v>
      </c>
    </row>
    <row r="34" spans="1:30" x14ac:dyDescent="0.2">
      <c r="A34" s="26">
        <v>42978</v>
      </c>
      <c r="B34" s="27">
        <v>74.769996643066406</v>
      </c>
      <c r="C34" s="33">
        <f t="shared" si="4"/>
        <v>2.8473174439029636E-2</v>
      </c>
      <c r="D34" s="27">
        <v>169.44000244140625</v>
      </c>
      <c r="E34" s="33">
        <f t="shared" si="5"/>
        <v>4.2643579895504935E-2</v>
      </c>
      <c r="F34" s="27">
        <v>939.33001708984375</v>
      </c>
      <c r="G34" s="33">
        <f t="shared" si="6"/>
        <v>9.4895401287951042E-3</v>
      </c>
      <c r="H34" s="27">
        <v>355.89999389648438</v>
      </c>
      <c r="I34" s="33">
        <f t="shared" si="7"/>
        <v>0.10025656955327467</v>
      </c>
      <c r="K34" s="34">
        <f t="shared" si="8"/>
        <v>2.8473174439029636E-2</v>
      </c>
      <c r="L34" s="34">
        <f t="shared" si="19"/>
        <v>4.2643579895504935E-2</v>
      </c>
      <c r="M34" s="34">
        <f t="shared" si="9"/>
        <v>9.4895401287951042E-3</v>
      </c>
      <c r="N34" s="34">
        <f t="shared" si="10"/>
        <v>0.10025656955327467</v>
      </c>
      <c r="P34" s="35">
        <f t="shared" si="11"/>
        <v>2.8630869279934478E-2</v>
      </c>
      <c r="Q34" s="35" t="str">
        <f t="shared" si="12"/>
        <v/>
      </c>
      <c r="S34" s="29">
        <f t="shared" si="13"/>
        <v>185.12626143249983</v>
      </c>
      <c r="T34" s="52">
        <f t="shared" si="14"/>
        <v>185.12626143249983</v>
      </c>
      <c r="U34" s="35">
        <f t="shared" si="1"/>
        <v>0</v>
      </c>
      <c r="W34" s="82">
        <v>5.0000000000000001E-4</v>
      </c>
      <c r="X34" s="34">
        <f t="shared" si="15"/>
        <v>2.8630869279934478E-2</v>
      </c>
      <c r="Y34" s="34">
        <f t="shared" si="16"/>
        <v>2.8130869279934478E-2</v>
      </c>
      <c r="AA34" s="35">
        <f t="shared" si="2"/>
        <v>5.0000000000000001E-4</v>
      </c>
      <c r="AB34" s="34">
        <f t="shared" si="3"/>
        <v>2.8630869279934478E-2</v>
      </c>
      <c r="AC34" s="35">
        <f t="shared" si="17"/>
        <v>1.2447069266402981E-2</v>
      </c>
      <c r="AD34" s="34">
        <f t="shared" si="18"/>
        <v>1.6183800013531497E-2</v>
      </c>
    </row>
    <row r="35" spans="1:30" x14ac:dyDescent="0.2">
      <c r="A35" s="26">
        <v>43007</v>
      </c>
      <c r="B35" s="27">
        <v>74.489997863769531</v>
      </c>
      <c r="C35" s="33">
        <f t="shared" si="4"/>
        <v>-3.7448012821710286E-3</v>
      </c>
      <c r="D35" s="27">
        <v>178.77000427246094</v>
      </c>
      <c r="E35" s="33">
        <f t="shared" si="5"/>
        <v>5.5063749389882677E-2</v>
      </c>
      <c r="F35" s="27">
        <v>959.1099853515625</v>
      </c>
      <c r="G35" s="33">
        <f t="shared" si="6"/>
        <v>2.1057528133721748E-2</v>
      </c>
      <c r="H35" s="27">
        <v>341.10000610351562</v>
      </c>
      <c r="I35" s="33">
        <f t="shared" si="7"/>
        <v>-4.1584681221639497E-2</v>
      </c>
      <c r="K35" s="34">
        <f t="shared" si="8"/>
        <v>-3.7448012821710286E-3</v>
      </c>
      <c r="L35" s="34">
        <f t="shared" si="19"/>
        <v>5.5063749389882677E-2</v>
      </c>
      <c r="M35" s="34">
        <f t="shared" si="9"/>
        <v>2.1057528133721748E-2</v>
      </c>
      <c r="N35" s="34">
        <f t="shared" si="10"/>
        <v>-4.1584681221639497E-2</v>
      </c>
      <c r="P35" s="35">
        <f t="shared" si="11"/>
        <v>-3.8279284989516664E-3</v>
      </c>
      <c r="Q35" s="35">
        <f t="shared" si="12"/>
        <v>-3.8279284989516664E-3</v>
      </c>
      <c r="S35" s="29">
        <f t="shared" si="13"/>
        <v>184.417611340458</v>
      </c>
      <c r="T35" s="52">
        <f t="shared" si="14"/>
        <v>185.12626143249983</v>
      </c>
      <c r="U35" s="35">
        <f t="shared" si="1"/>
        <v>-3.8279284989516382E-3</v>
      </c>
      <c r="W35" s="82">
        <v>1.9300000000000001E-2</v>
      </c>
      <c r="X35" s="34">
        <f t="shared" si="15"/>
        <v>-3.8279284989516664E-3</v>
      </c>
      <c r="Y35" s="34">
        <f t="shared" si="16"/>
        <v>-2.3127928498951667E-2</v>
      </c>
      <c r="AA35" s="35">
        <f t="shared" si="2"/>
        <v>1.9300000000000001E-2</v>
      </c>
      <c r="AB35" s="34">
        <f t="shared" si="3"/>
        <v>-3.8279284989516664E-3</v>
      </c>
      <c r="AC35" s="35">
        <f t="shared" si="17"/>
        <v>3.0755857394511518E-2</v>
      </c>
      <c r="AD35" s="34">
        <f t="shared" si="18"/>
        <v>-3.4583785893463184E-2</v>
      </c>
    </row>
    <row r="36" spans="1:30" x14ac:dyDescent="0.2">
      <c r="A36" s="26">
        <v>43039</v>
      </c>
      <c r="B36" s="27">
        <v>83.180000305175781</v>
      </c>
      <c r="C36" s="33">
        <f t="shared" si="4"/>
        <v>0.11665999047682751</v>
      </c>
      <c r="D36" s="27">
        <v>206.80999755859375</v>
      </c>
      <c r="E36" s="33">
        <f t="shared" si="5"/>
        <v>0.15684954195893752</v>
      </c>
      <c r="F36" s="27">
        <v>1016.6400146484375</v>
      </c>
      <c r="G36" s="33">
        <f t="shared" si="6"/>
        <v>5.9982723749651523E-2</v>
      </c>
      <c r="H36" s="27">
        <v>331.52999877929688</v>
      </c>
      <c r="I36" s="33">
        <f t="shared" si="7"/>
        <v>-2.8056309448773464E-2</v>
      </c>
      <c r="K36" s="34">
        <f t="shared" si="8"/>
        <v>0.11665999047682751</v>
      </c>
      <c r="L36" s="34">
        <f t="shared" si="19"/>
        <v>0.15684954195893752</v>
      </c>
      <c r="M36" s="34">
        <f t="shared" si="9"/>
        <v>5.9982723749651523E-2</v>
      </c>
      <c r="N36" s="34">
        <f t="shared" si="10"/>
        <v>-2.8056309448773464E-2</v>
      </c>
      <c r="P36" s="35">
        <f t="shared" ref="P36:P67" si="20">SUMPRODUCT(K36:N36,$K$124:$N$124)</f>
        <v>0.11634207553484446</v>
      </c>
      <c r="Q36" s="35" t="str">
        <f t="shared" si="12"/>
        <v/>
      </c>
      <c r="S36" s="29">
        <f t="shared" si="13"/>
        <v>205.87313900898516</v>
      </c>
      <c r="T36" s="52">
        <f t="shared" si="14"/>
        <v>205.87313900898516</v>
      </c>
      <c r="U36" s="35">
        <f t="shared" si="1"/>
        <v>0</v>
      </c>
      <c r="W36" s="82">
        <v>2.2200000000000001E-2</v>
      </c>
      <c r="X36" s="34">
        <f t="shared" si="15"/>
        <v>0.11634207553484446</v>
      </c>
      <c r="Y36" s="34">
        <f t="shared" si="16"/>
        <v>9.4142075534844466E-2</v>
      </c>
      <c r="AA36" s="35">
        <f t="shared" si="2"/>
        <v>2.2200000000000001E-2</v>
      </c>
      <c r="AB36" s="34">
        <f t="shared" si="3"/>
        <v>0.11634207553484446</v>
      </c>
      <c r="AC36" s="35">
        <f t="shared" si="17"/>
        <v>3.3580085350443156E-2</v>
      </c>
      <c r="AD36" s="34">
        <f t="shared" si="18"/>
        <v>8.2761990184401307E-2</v>
      </c>
    </row>
    <row r="37" spans="1:30" x14ac:dyDescent="0.2">
      <c r="A37" s="26">
        <v>43069</v>
      </c>
      <c r="B37" s="27">
        <v>84.169998168945312</v>
      </c>
      <c r="C37" s="33">
        <f t="shared" si="4"/>
        <v>1.1901873769384119E-2</v>
      </c>
      <c r="D37" s="27">
        <v>200.71000671386719</v>
      </c>
      <c r="E37" s="33">
        <f t="shared" si="5"/>
        <v>-2.9495628435459498E-2</v>
      </c>
      <c r="F37" s="27">
        <v>1021.4099731445312</v>
      </c>
      <c r="G37" s="33">
        <f t="shared" si="6"/>
        <v>4.6918854534201415E-3</v>
      </c>
      <c r="H37" s="27">
        <v>308.85000610351562</v>
      </c>
      <c r="I37" s="33">
        <f t="shared" si="7"/>
        <v>-6.8410076793320784E-2</v>
      </c>
      <c r="K37" s="34">
        <f t="shared" si="8"/>
        <v>1.1901873769384119E-2</v>
      </c>
      <c r="L37" s="34">
        <f t="shared" si="19"/>
        <v>-2.9495628435459498E-2</v>
      </c>
      <c r="M37" s="34">
        <f t="shared" si="9"/>
        <v>4.6918854534201415E-3</v>
      </c>
      <c r="N37" s="34">
        <f t="shared" si="10"/>
        <v>-6.8410076793320784E-2</v>
      </c>
      <c r="P37" s="35">
        <f t="shared" si="20"/>
        <v>1.1725443269731885E-2</v>
      </c>
      <c r="Q37" s="35" t="str">
        <f t="shared" si="12"/>
        <v/>
      </c>
      <c r="S37" s="29">
        <f t="shared" si="13"/>
        <v>208.28709282119664</v>
      </c>
      <c r="T37" s="52">
        <f t="shared" si="14"/>
        <v>208.28709282119664</v>
      </c>
      <c r="U37" s="35">
        <f t="shared" si="1"/>
        <v>0</v>
      </c>
      <c r="W37" s="82">
        <v>2.81E-2</v>
      </c>
      <c r="X37" s="34">
        <f t="shared" si="15"/>
        <v>1.1725443269731885E-2</v>
      </c>
      <c r="Y37" s="34">
        <f t="shared" si="16"/>
        <v>-1.6374556730268115E-2</v>
      </c>
      <c r="AA37" s="35">
        <f t="shared" si="2"/>
        <v>2.81E-2</v>
      </c>
      <c r="AB37" s="34">
        <f t="shared" si="3"/>
        <v>1.1725443269731885E-2</v>
      </c>
      <c r="AC37" s="35">
        <f t="shared" si="17"/>
        <v>3.9325928433200624E-2</v>
      </c>
      <c r="AD37" s="34">
        <f t="shared" si="18"/>
        <v>-2.760048516346874E-2</v>
      </c>
    </row>
    <row r="38" spans="1:30" x14ac:dyDescent="0.2">
      <c r="A38" s="26">
        <v>43098</v>
      </c>
      <c r="B38" s="27">
        <v>85.540000915527344</v>
      </c>
      <c r="C38" s="33">
        <f t="shared" si="4"/>
        <v>1.6276616091070562E-2</v>
      </c>
      <c r="D38" s="27">
        <v>193.5</v>
      </c>
      <c r="E38" s="33">
        <f t="shared" si="5"/>
        <v>-3.5922507461951247E-2</v>
      </c>
      <c r="F38" s="27">
        <v>1046.4000244140625</v>
      </c>
      <c r="G38" s="33">
        <f t="shared" si="6"/>
        <v>2.4466229943493234E-2</v>
      </c>
      <c r="H38" s="27">
        <v>311.35000610351562</v>
      </c>
      <c r="I38" s="33">
        <f t="shared" si="7"/>
        <v>8.0945441171922372E-3</v>
      </c>
      <c r="K38" s="34">
        <f t="shared" si="8"/>
        <v>1.6276616091070562E-2</v>
      </c>
      <c r="L38" s="34">
        <f t="shared" si="19"/>
        <v>-3.5922507461951247E-2</v>
      </c>
      <c r="M38" s="34">
        <f t="shared" si="9"/>
        <v>2.4466229943493234E-2</v>
      </c>
      <c r="N38" s="34">
        <f t="shared" si="10"/>
        <v>8.0945441171922372E-3</v>
      </c>
      <c r="P38" s="35">
        <f t="shared" si="20"/>
        <v>1.6258641592425887E-2</v>
      </c>
      <c r="Q38" s="35" t="str">
        <f t="shared" si="12"/>
        <v/>
      </c>
      <c r="S38" s="29">
        <f t="shared" si="13"/>
        <v>211.67355801170484</v>
      </c>
      <c r="T38" s="52">
        <f t="shared" si="14"/>
        <v>211.67355801170484</v>
      </c>
      <c r="U38" s="35">
        <f t="shared" si="1"/>
        <v>0</v>
      </c>
      <c r="W38" s="82">
        <v>9.7999999999999997E-3</v>
      </c>
      <c r="X38" s="34">
        <f t="shared" si="15"/>
        <v>1.6258641592425887E-2</v>
      </c>
      <c r="Y38" s="34">
        <f t="shared" si="16"/>
        <v>6.4586415924258872E-3</v>
      </c>
      <c r="AA38" s="35">
        <f t="shared" si="2"/>
        <v>9.7999999999999997E-3</v>
      </c>
      <c r="AB38" s="34">
        <f t="shared" si="3"/>
        <v>1.6258641592425887E-2</v>
      </c>
      <c r="AC38" s="35">
        <f t="shared" si="17"/>
        <v>2.1504076159563054E-2</v>
      </c>
      <c r="AD38" s="34">
        <f t="shared" si="18"/>
        <v>-5.2454345671371673E-3</v>
      </c>
    </row>
    <row r="39" spans="1:30" x14ac:dyDescent="0.2">
      <c r="A39" s="26">
        <v>43131</v>
      </c>
      <c r="B39" s="27">
        <v>95.010002136230469</v>
      </c>
      <c r="C39" s="33">
        <f t="shared" si="4"/>
        <v>0.11070845358132453</v>
      </c>
      <c r="D39" s="27">
        <v>245.80000305175781</v>
      </c>
      <c r="E39" s="33">
        <f t="shared" si="5"/>
        <v>0.27028425349745633</v>
      </c>
      <c r="F39" s="27">
        <v>1169.93994140625</v>
      </c>
      <c r="G39" s="33">
        <f t="shared" si="6"/>
        <v>0.11806184452390878</v>
      </c>
      <c r="H39" s="27">
        <v>354.30999755859375</v>
      </c>
      <c r="I39" s="33">
        <f t="shared" si="7"/>
        <v>0.13797973538755959</v>
      </c>
      <c r="K39" s="34">
        <f t="shared" si="8"/>
        <v>0.11070845358132453</v>
      </c>
      <c r="L39" s="34">
        <f t="shared" si="19"/>
        <v>0.27028425349745633</v>
      </c>
      <c r="M39" s="34">
        <f t="shared" si="9"/>
        <v>0.11806184452390878</v>
      </c>
      <c r="N39" s="34">
        <f t="shared" si="10"/>
        <v>0.13797973538755959</v>
      </c>
      <c r="P39" s="35">
        <f t="shared" si="20"/>
        <v>0.11076836354293708</v>
      </c>
      <c r="Q39" s="35" t="str">
        <f t="shared" si="12"/>
        <v/>
      </c>
      <c r="S39" s="29">
        <f t="shared" si="13"/>
        <v>235.12029163797234</v>
      </c>
      <c r="T39" s="52">
        <f t="shared" si="14"/>
        <v>235.12029163797234</v>
      </c>
      <c r="U39" s="35">
        <f t="shared" si="1"/>
        <v>0</v>
      </c>
      <c r="W39" s="82">
        <v>5.62E-2</v>
      </c>
      <c r="X39" s="34">
        <f t="shared" si="15"/>
        <v>0.11076836354293708</v>
      </c>
      <c r="Y39" s="34">
        <f t="shared" si="16"/>
        <v>5.4568363542937079E-2</v>
      </c>
      <c r="AA39" s="35">
        <f t="shared" si="2"/>
        <v>5.62E-2</v>
      </c>
      <c r="AB39" s="34">
        <f t="shared" si="3"/>
        <v>0.11076836354293708</v>
      </c>
      <c r="AC39" s="35">
        <f t="shared" si="17"/>
        <v>6.6691723454469234E-2</v>
      </c>
      <c r="AD39" s="34">
        <f t="shared" si="18"/>
        <v>4.4076640088467844E-2</v>
      </c>
    </row>
    <row r="40" spans="1:30" x14ac:dyDescent="0.2">
      <c r="A40" s="26">
        <v>43159</v>
      </c>
      <c r="B40" s="27">
        <v>93.769996643066406</v>
      </c>
      <c r="C40" s="33">
        <f t="shared" si="4"/>
        <v>-1.3051315285585119E-2</v>
      </c>
      <c r="D40" s="27">
        <v>242</v>
      </c>
      <c r="E40" s="33">
        <f t="shared" si="5"/>
        <v>-1.5459735575990452E-2</v>
      </c>
      <c r="F40" s="27">
        <v>1104.72998046875</v>
      </c>
      <c r="G40" s="33">
        <f t="shared" si="6"/>
        <v>-5.5737870491983199E-2</v>
      </c>
      <c r="H40" s="27">
        <v>343.05999755859375</v>
      </c>
      <c r="I40" s="33">
        <f t="shared" si="7"/>
        <v>-3.1751855938356721E-2</v>
      </c>
      <c r="K40" s="34">
        <f t="shared" si="8"/>
        <v>-1.3051315285585119E-2</v>
      </c>
      <c r="L40" s="34">
        <f t="shared" si="19"/>
        <v>-1.5459735575990452E-2</v>
      </c>
      <c r="M40" s="34">
        <f t="shared" si="9"/>
        <v>-5.5737870491983199E-2</v>
      </c>
      <c r="N40" s="34">
        <f t="shared" si="10"/>
        <v>-3.1751855938356721E-2</v>
      </c>
      <c r="P40" s="35">
        <f t="shared" si="20"/>
        <v>-1.3092396914259556E-2</v>
      </c>
      <c r="Q40" s="35">
        <f t="shared" si="12"/>
        <v>-1.3092396914259556E-2</v>
      </c>
      <c r="S40" s="29">
        <f t="shared" si="13"/>
        <v>232.04200345725155</v>
      </c>
      <c r="T40" s="52">
        <f t="shared" si="14"/>
        <v>235.12029163797234</v>
      </c>
      <c r="U40" s="35">
        <f t="shared" si="1"/>
        <v>-1.3092396914259563E-2</v>
      </c>
      <c r="W40" s="82">
        <v>-3.8899999999999997E-2</v>
      </c>
      <c r="X40" s="34">
        <f t="shared" si="15"/>
        <v>-1.3092396914259556E-2</v>
      </c>
      <c r="Y40" s="34">
        <f t="shared" si="16"/>
        <v>2.5807603085740441E-2</v>
      </c>
      <c r="AA40" s="35">
        <f t="shared" si="2"/>
        <v>-3.8899999999999997E-2</v>
      </c>
      <c r="AB40" s="34">
        <f t="shared" si="3"/>
        <v>-1.3092396914259556E-2</v>
      </c>
      <c r="AC40" s="35">
        <f t="shared" si="17"/>
        <v>-2.5923476065909591E-2</v>
      </c>
      <c r="AD40" s="34">
        <f t="shared" si="18"/>
        <v>1.2831079151650035E-2</v>
      </c>
    </row>
    <row r="41" spans="1:30" x14ac:dyDescent="0.2">
      <c r="A41" s="26">
        <v>43188</v>
      </c>
      <c r="B41" s="27">
        <v>91.269996643066406</v>
      </c>
      <c r="C41" s="33">
        <f t="shared" si="4"/>
        <v>-2.6660979945602459E-2</v>
      </c>
      <c r="D41" s="27">
        <v>231.58999633789062</v>
      </c>
      <c r="E41" s="33">
        <f t="shared" si="5"/>
        <v>-4.3016544058303241E-2</v>
      </c>
      <c r="F41" s="27">
        <v>1031.7900390625</v>
      </c>
      <c r="G41" s="33">
        <f t="shared" si="6"/>
        <v>-6.6025130752132455E-2</v>
      </c>
      <c r="H41" s="27">
        <v>266.1300048828125</v>
      </c>
      <c r="I41" s="33">
        <f t="shared" si="7"/>
        <v>-0.22424646774108892</v>
      </c>
      <c r="K41" s="34">
        <f t="shared" si="8"/>
        <v>-2.6660979945602459E-2</v>
      </c>
      <c r="L41" s="34">
        <f t="shared" si="19"/>
        <v>-4.3016544058303241E-2</v>
      </c>
      <c r="M41" s="34">
        <f t="shared" si="9"/>
        <v>-6.6025130752132455E-2</v>
      </c>
      <c r="N41" s="34">
        <f t="shared" si="10"/>
        <v>-0.22424646774108892</v>
      </c>
      <c r="P41" s="35">
        <f t="shared" si="20"/>
        <v>-2.7095038713837401E-2</v>
      </c>
      <c r="Q41" s="35">
        <f t="shared" si="12"/>
        <v>-2.7095038713837401E-2</v>
      </c>
      <c r="S41" s="29">
        <f t="shared" si="13"/>
        <v>225.75481639034092</v>
      </c>
      <c r="T41" s="52">
        <f t="shared" si="14"/>
        <v>235.12029163797234</v>
      </c>
      <c r="U41" s="35">
        <f t="shared" si="1"/>
        <v>-3.9832696626848185E-2</v>
      </c>
      <c r="W41" s="82">
        <v>-2.69E-2</v>
      </c>
      <c r="X41" s="34">
        <f t="shared" si="15"/>
        <v>-2.7095038713837401E-2</v>
      </c>
      <c r="Y41" s="34">
        <f t="shared" si="16"/>
        <v>-1.9503871383740046E-4</v>
      </c>
      <c r="AA41" s="35">
        <f t="shared" si="2"/>
        <v>-2.69E-2</v>
      </c>
      <c r="AB41" s="34">
        <f t="shared" si="3"/>
        <v>-2.7095038713837401E-2</v>
      </c>
      <c r="AC41" s="35">
        <f t="shared" si="17"/>
        <v>-1.4237015558606273E-2</v>
      </c>
      <c r="AD41" s="34">
        <f t="shared" si="18"/>
        <v>-1.2858023155231128E-2</v>
      </c>
    </row>
    <row r="42" spans="1:30" x14ac:dyDescent="0.2">
      <c r="A42" s="26">
        <v>43220</v>
      </c>
      <c r="B42" s="27">
        <v>93.519996643066406</v>
      </c>
      <c r="C42" s="33">
        <f t="shared" si="4"/>
        <v>2.4652131946483635E-2</v>
      </c>
      <c r="D42" s="27">
        <v>224.89999389648438</v>
      </c>
      <c r="E42" s="33">
        <f t="shared" si="5"/>
        <v>-2.8887268652336373E-2</v>
      </c>
      <c r="F42" s="27">
        <v>1017.3300170898438</v>
      </c>
      <c r="G42" s="33">
        <f t="shared" si="6"/>
        <v>-1.4014500455727275E-2</v>
      </c>
      <c r="H42" s="27">
        <v>293.89999389648438</v>
      </c>
      <c r="I42" s="33">
        <f t="shared" si="7"/>
        <v>0.10434745614610463</v>
      </c>
      <c r="K42" s="34">
        <f t="shared" si="8"/>
        <v>2.4652131946483635E-2</v>
      </c>
      <c r="L42" s="34">
        <f t="shared" si="19"/>
        <v>-2.8887268652336373E-2</v>
      </c>
      <c r="M42" s="34">
        <f t="shared" si="9"/>
        <v>-1.4014500455727275E-2</v>
      </c>
      <c r="N42" s="34">
        <f t="shared" si="10"/>
        <v>0.10434745614610463</v>
      </c>
      <c r="P42" s="35">
        <f t="shared" si="20"/>
        <v>2.4827207832076915E-2</v>
      </c>
      <c r="Q42" s="35" t="str">
        <f t="shared" si="12"/>
        <v/>
      </c>
      <c r="S42" s="29">
        <f t="shared" si="13"/>
        <v>231.35967813595624</v>
      </c>
      <c r="T42" s="52">
        <f t="shared" si="14"/>
        <v>235.12029163797234</v>
      </c>
      <c r="U42" s="35">
        <f t="shared" si="1"/>
        <v>-1.5994423432438287E-2</v>
      </c>
      <c r="W42" s="82">
        <v>2.7000000000000001E-3</v>
      </c>
      <c r="X42" s="34">
        <f t="shared" si="15"/>
        <v>2.4827207832076915E-2</v>
      </c>
      <c r="Y42" s="34">
        <f t="shared" si="16"/>
        <v>2.2127207832076914E-2</v>
      </c>
      <c r="AA42" s="35">
        <f t="shared" si="2"/>
        <v>2.7000000000000001E-3</v>
      </c>
      <c r="AB42" s="34">
        <f t="shared" si="3"/>
        <v>2.4827207832076915E-2</v>
      </c>
      <c r="AC42" s="35">
        <f t="shared" si="17"/>
        <v>1.4589587026075256E-2</v>
      </c>
      <c r="AD42" s="34">
        <f t="shared" si="18"/>
        <v>1.0237620806001659E-2</v>
      </c>
    </row>
    <row r="43" spans="1:30" x14ac:dyDescent="0.2">
      <c r="A43" s="26">
        <v>43251</v>
      </c>
      <c r="B43" s="27">
        <v>98.839996337890625</v>
      </c>
      <c r="C43" s="33">
        <f t="shared" si="4"/>
        <v>5.6886226323647371E-2</v>
      </c>
      <c r="D43" s="27">
        <v>252.19000244140625</v>
      </c>
      <c r="E43" s="33">
        <f t="shared" si="5"/>
        <v>0.1213428603180966</v>
      </c>
      <c r="F43" s="27">
        <v>1084.989990234375</v>
      </c>
      <c r="G43" s="33">
        <f t="shared" si="6"/>
        <v>6.6507398786952221E-2</v>
      </c>
      <c r="H43" s="27">
        <v>284.73001098632812</v>
      </c>
      <c r="I43" s="33">
        <f t="shared" si="7"/>
        <v>-3.1201031305179372E-2</v>
      </c>
      <c r="K43" s="34">
        <f t="shared" si="8"/>
        <v>5.6886226323647371E-2</v>
      </c>
      <c r="L43" s="34">
        <f t="shared" si="19"/>
        <v>0.1213428603180966</v>
      </c>
      <c r="M43" s="34">
        <f t="shared" si="9"/>
        <v>6.6507398786952221E-2</v>
      </c>
      <c r="N43" s="34">
        <f t="shared" si="10"/>
        <v>-3.1201031305179372E-2</v>
      </c>
      <c r="P43" s="35">
        <f t="shared" si="20"/>
        <v>5.6692714912611339E-2</v>
      </c>
      <c r="Q43" s="35" t="str">
        <f t="shared" si="12"/>
        <v/>
      </c>
      <c r="S43" s="29">
        <f t="shared" si="13"/>
        <v>244.47608641079151</v>
      </c>
      <c r="T43" s="52">
        <f t="shared" si="14"/>
        <v>244.47608641079151</v>
      </c>
      <c r="U43" s="35">
        <f t="shared" si="1"/>
        <v>0</v>
      </c>
      <c r="W43" s="82">
        <v>2.1600000000000001E-2</v>
      </c>
      <c r="X43" s="34">
        <f t="shared" si="15"/>
        <v>5.6692714912611339E-2</v>
      </c>
      <c r="Y43" s="34">
        <f t="shared" si="16"/>
        <v>3.5092714912611338E-2</v>
      </c>
      <c r="AA43" s="35">
        <f t="shared" si="2"/>
        <v>2.1600000000000001E-2</v>
      </c>
      <c r="AB43" s="34">
        <f t="shared" si="3"/>
        <v>5.6692714912611339E-2</v>
      </c>
      <c r="AC43" s="35">
        <f t="shared" si="17"/>
        <v>3.299576232507799E-2</v>
      </c>
      <c r="AD43" s="34">
        <f t="shared" si="18"/>
        <v>2.3696952587533349E-2</v>
      </c>
    </row>
    <row r="44" spans="1:30" x14ac:dyDescent="0.2">
      <c r="A44" s="26">
        <v>43280</v>
      </c>
      <c r="B44" s="27">
        <v>98.610000610351562</v>
      </c>
      <c r="C44" s="33">
        <f t="shared" si="4"/>
        <v>-2.3269499803785232E-3</v>
      </c>
      <c r="D44" s="27">
        <v>236.89999389648438</v>
      </c>
      <c r="E44" s="33">
        <f t="shared" si="5"/>
        <v>-6.0628924211515334E-2</v>
      </c>
      <c r="F44" s="27">
        <v>1115.6500244140625</v>
      </c>
      <c r="G44" s="33">
        <f t="shared" si="6"/>
        <v>2.8258356718170674E-2</v>
      </c>
      <c r="H44" s="27">
        <v>342.95001220703125</v>
      </c>
      <c r="I44" s="33">
        <f t="shared" si="7"/>
        <v>0.20447441075503159</v>
      </c>
      <c r="K44" s="34">
        <f t="shared" si="8"/>
        <v>-2.3269499803785232E-3</v>
      </c>
      <c r="L44" s="34">
        <f t="shared" si="19"/>
        <v>-6.0628924211515334E-2</v>
      </c>
      <c r="M44" s="34">
        <f t="shared" si="9"/>
        <v>2.8258356718170674E-2</v>
      </c>
      <c r="N44" s="34">
        <f t="shared" si="10"/>
        <v>0.20447441075503159</v>
      </c>
      <c r="P44" s="35">
        <f t="shared" si="20"/>
        <v>-1.8726456440042499E-3</v>
      </c>
      <c r="Q44" s="35">
        <f t="shared" si="12"/>
        <v>-1.8726456440042499E-3</v>
      </c>
      <c r="S44" s="29">
        <f t="shared" si="13"/>
        <v>244.01826933251112</v>
      </c>
      <c r="T44" s="52">
        <f t="shared" si="14"/>
        <v>244.47608641079151</v>
      </c>
      <c r="U44" s="35">
        <f t="shared" si="1"/>
        <v>-1.8726456440042449E-3</v>
      </c>
      <c r="W44" s="82">
        <v>4.7999999999999996E-3</v>
      </c>
      <c r="X44" s="34">
        <f t="shared" si="15"/>
        <v>-1.8726456440042499E-3</v>
      </c>
      <c r="Y44" s="34">
        <f t="shared" si="16"/>
        <v>-6.6726456440042497E-3</v>
      </c>
      <c r="AA44" s="35">
        <f t="shared" si="2"/>
        <v>4.7999999999999996E-3</v>
      </c>
      <c r="AB44" s="34">
        <f t="shared" si="3"/>
        <v>-1.8726456440042499E-3</v>
      </c>
      <c r="AC44" s="35">
        <f t="shared" si="17"/>
        <v>1.6634717614853339E-2</v>
      </c>
      <c r="AD44" s="34">
        <f t="shared" si="18"/>
        <v>-1.8507363258857587E-2</v>
      </c>
    </row>
    <row r="45" spans="1:30" x14ac:dyDescent="0.2">
      <c r="A45" s="26">
        <v>43312</v>
      </c>
      <c r="B45" s="27">
        <v>106.08000183105469</v>
      </c>
      <c r="C45" s="33">
        <f t="shared" si="4"/>
        <v>7.5752978140829264E-2</v>
      </c>
      <c r="D45" s="27">
        <v>244.86000061035156</v>
      </c>
      <c r="E45" s="33">
        <f t="shared" si="5"/>
        <v>3.3600704596663533E-2</v>
      </c>
      <c r="F45" s="27">
        <v>1217.260009765625</v>
      </c>
      <c r="G45" s="33">
        <f t="shared" si="6"/>
        <v>9.1076935533549452E-2</v>
      </c>
      <c r="H45" s="27">
        <v>298.1400146484375</v>
      </c>
      <c r="I45" s="33">
        <f t="shared" si="7"/>
        <v>-0.13066043435957941</v>
      </c>
      <c r="K45" s="34">
        <f t="shared" si="8"/>
        <v>7.5752978140829264E-2</v>
      </c>
      <c r="L45" s="34">
        <f t="shared" si="19"/>
        <v>3.3600704596663533E-2</v>
      </c>
      <c r="M45" s="34">
        <f t="shared" si="9"/>
        <v>9.1076935533549452E-2</v>
      </c>
      <c r="N45" s="34">
        <f t="shared" si="10"/>
        <v>-0.13066043435957941</v>
      </c>
      <c r="P45" s="35">
        <f t="shared" si="20"/>
        <v>7.5299526054966495E-2</v>
      </c>
      <c r="Q45" s="35" t="str">
        <f t="shared" si="12"/>
        <v/>
      </c>
      <c r="S45" s="29">
        <f t="shared" si="13"/>
        <v>262.3927293620024</v>
      </c>
      <c r="T45" s="52">
        <f t="shared" si="14"/>
        <v>262.3927293620024</v>
      </c>
      <c r="U45" s="35">
        <f t="shared" si="1"/>
        <v>0</v>
      </c>
      <c r="W45" s="82">
        <v>3.5999999999999997E-2</v>
      </c>
      <c r="X45" s="34">
        <f t="shared" si="15"/>
        <v>7.5299526054966495E-2</v>
      </c>
      <c r="Y45" s="34">
        <f t="shared" si="16"/>
        <v>3.9299526054966498E-2</v>
      </c>
      <c r="AA45" s="35">
        <f t="shared" si="2"/>
        <v>3.5999999999999997E-2</v>
      </c>
      <c r="AB45" s="34">
        <f t="shared" si="3"/>
        <v>7.5299526054966495E-2</v>
      </c>
      <c r="AC45" s="35">
        <f t="shared" si="17"/>
        <v>4.7019514933841974E-2</v>
      </c>
      <c r="AD45" s="34">
        <f t="shared" si="18"/>
        <v>2.8280011121124521E-2</v>
      </c>
    </row>
    <row r="46" spans="1:30" x14ac:dyDescent="0.2">
      <c r="A46" s="26">
        <v>43343</v>
      </c>
      <c r="B46" s="27">
        <v>112.33000183105469</v>
      </c>
      <c r="C46" s="33">
        <f t="shared" si="4"/>
        <v>5.891779687140164E-2</v>
      </c>
      <c r="D46" s="27">
        <v>280.67999267578125</v>
      </c>
      <c r="E46" s="33">
        <f t="shared" si="5"/>
        <v>0.14628764182039866</v>
      </c>
      <c r="F46" s="27">
        <v>1218.18994140625</v>
      </c>
      <c r="G46" s="33">
        <f t="shared" si="6"/>
        <v>7.639548109397154E-4</v>
      </c>
      <c r="H46" s="27">
        <v>301.66000366210938</v>
      </c>
      <c r="I46" s="33">
        <f t="shared" si="7"/>
        <v>1.1806496413514278E-2</v>
      </c>
      <c r="K46" s="34">
        <f t="shared" si="8"/>
        <v>5.891779687140164E-2</v>
      </c>
      <c r="L46" s="34">
        <f t="shared" si="19"/>
        <v>0.14628764182039866</v>
      </c>
      <c r="M46" s="34">
        <f t="shared" si="9"/>
        <v>7.639548109397154E-4</v>
      </c>
      <c r="N46" s="34">
        <f t="shared" si="10"/>
        <v>1.1806496413514278E-2</v>
      </c>
      <c r="P46" s="35">
        <f t="shared" si="20"/>
        <v>5.8814302058726689E-2</v>
      </c>
      <c r="Q46" s="35" t="str">
        <f t="shared" si="12"/>
        <v/>
      </c>
      <c r="S46" s="29">
        <f t="shared" si="13"/>
        <v>277.82517460471291</v>
      </c>
      <c r="T46" s="52">
        <f t="shared" si="14"/>
        <v>277.82517460471291</v>
      </c>
      <c r="U46" s="35">
        <f t="shared" si="1"/>
        <v>0</v>
      </c>
      <c r="W46" s="82">
        <v>3.0300000000000001E-2</v>
      </c>
      <c r="X46" s="34">
        <f t="shared" si="15"/>
        <v>5.8814302058726689E-2</v>
      </c>
      <c r="Y46" s="34">
        <f t="shared" si="16"/>
        <v>2.8514302058726688E-2</v>
      </c>
      <c r="AA46" s="35">
        <f t="shared" si="2"/>
        <v>3.0300000000000001E-2</v>
      </c>
      <c r="AB46" s="34">
        <f t="shared" si="3"/>
        <v>5.8814302058726689E-2</v>
      </c>
      <c r="AC46" s="35">
        <f t="shared" si="17"/>
        <v>4.1468446192872897E-2</v>
      </c>
      <c r="AD46" s="34">
        <f t="shared" si="18"/>
        <v>1.7345855865853792E-2</v>
      </c>
    </row>
    <row r="47" spans="1:30" x14ac:dyDescent="0.2">
      <c r="A47" s="26">
        <v>43371</v>
      </c>
      <c r="B47" s="27">
        <v>114.37000274658203</v>
      </c>
      <c r="C47" s="33">
        <f t="shared" si="4"/>
        <v>1.8160784138466557E-2</v>
      </c>
      <c r="D47" s="27">
        <v>281.01998901367188</v>
      </c>
      <c r="E47" s="33">
        <f t="shared" si="5"/>
        <v>1.211330863484017E-3</v>
      </c>
      <c r="F47" s="27">
        <v>1193.469970703125</v>
      </c>
      <c r="G47" s="33">
        <f t="shared" si="6"/>
        <v>-2.0292377947718765E-2</v>
      </c>
      <c r="H47" s="27">
        <v>264.76998901367188</v>
      </c>
      <c r="I47" s="33">
        <f t="shared" si="7"/>
        <v>-0.12229004243385933</v>
      </c>
      <c r="K47" s="34">
        <f t="shared" si="8"/>
        <v>1.8160784138466557E-2</v>
      </c>
      <c r="L47" s="34">
        <f t="shared" si="19"/>
        <v>1.211330863484017E-3</v>
      </c>
      <c r="M47" s="34">
        <f t="shared" si="9"/>
        <v>-2.0292377947718765E-2</v>
      </c>
      <c r="N47" s="34">
        <f t="shared" si="10"/>
        <v>-0.12229004243385933</v>
      </c>
      <c r="P47" s="35">
        <f t="shared" si="20"/>
        <v>1.7852239652432964E-2</v>
      </c>
      <c r="Q47" s="35" t="str">
        <f t="shared" si="12"/>
        <v/>
      </c>
      <c r="S47" s="29">
        <f t="shared" si="13"/>
        <v>282.78497620323526</v>
      </c>
      <c r="T47" s="52">
        <f t="shared" si="14"/>
        <v>282.78497620323526</v>
      </c>
      <c r="U47" s="35">
        <f t="shared" si="1"/>
        <v>0</v>
      </c>
      <c r="W47" s="82">
        <v>4.3E-3</v>
      </c>
      <c r="X47" s="34">
        <f t="shared" si="15"/>
        <v>1.7852239652432964E-2</v>
      </c>
      <c r="Y47" s="34">
        <f t="shared" si="16"/>
        <v>1.3552239652432964E-2</v>
      </c>
      <c r="AA47" s="35">
        <f t="shared" si="2"/>
        <v>4.3E-3</v>
      </c>
      <c r="AB47" s="34">
        <f t="shared" si="3"/>
        <v>1.7852239652432964E-2</v>
      </c>
      <c r="AC47" s="35">
        <f t="shared" si="17"/>
        <v>1.6147781760382368E-2</v>
      </c>
      <c r="AD47" s="34">
        <f t="shared" si="18"/>
        <v>1.7044578920505961E-3</v>
      </c>
    </row>
    <row r="48" spans="1:30" x14ac:dyDescent="0.2">
      <c r="A48" s="26">
        <v>43404</v>
      </c>
      <c r="B48" s="27">
        <v>106.80999755859375</v>
      </c>
      <c r="C48" s="33">
        <f t="shared" si="4"/>
        <v>-6.6101294101911789E-2</v>
      </c>
      <c r="D48" s="27">
        <v>210.83000183105469</v>
      </c>
      <c r="E48" s="33">
        <f t="shared" si="5"/>
        <v>-0.24976866389103158</v>
      </c>
      <c r="F48" s="27">
        <v>1076.77001953125</v>
      </c>
      <c r="G48" s="33">
        <f t="shared" si="6"/>
        <v>-9.7782059068584726E-2</v>
      </c>
      <c r="H48" s="27">
        <v>337.32000732421875</v>
      </c>
      <c r="I48" s="33">
        <f t="shared" si="7"/>
        <v>0.27401148665229069</v>
      </c>
      <c r="K48" s="34">
        <f t="shared" si="8"/>
        <v>-6.6101294101911789E-2</v>
      </c>
      <c r="L48" s="34">
        <f t="shared" si="19"/>
        <v>-0.24976866389103158</v>
      </c>
      <c r="M48" s="34">
        <f t="shared" si="9"/>
        <v>-9.7782059068584726E-2</v>
      </c>
      <c r="N48" s="34">
        <f t="shared" si="10"/>
        <v>0.27401148665229069</v>
      </c>
      <c r="P48" s="35">
        <f t="shared" si="20"/>
        <v>-6.5354129235087599E-2</v>
      </c>
      <c r="Q48" s="35">
        <f t="shared" si="12"/>
        <v>-6.5354129235087599E-2</v>
      </c>
      <c r="S48" s="29">
        <f t="shared" si="13"/>
        <v>264.30381032270782</v>
      </c>
      <c r="T48" s="52">
        <f t="shared" si="14"/>
        <v>282.78497620323526</v>
      </c>
      <c r="U48" s="35">
        <f t="shared" si="1"/>
        <v>-6.5354129235087766E-2</v>
      </c>
      <c r="W48" s="82">
        <v>-6.9400000000000003E-2</v>
      </c>
      <c r="X48" s="34">
        <f t="shared" si="15"/>
        <v>-6.5354129235087599E-2</v>
      </c>
      <c r="Y48" s="34">
        <f t="shared" si="16"/>
        <v>4.0458707649124043E-3</v>
      </c>
      <c r="AA48" s="35">
        <f t="shared" si="2"/>
        <v>-6.9400000000000003E-2</v>
      </c>
      <c r="AB48" s="34">
        <f t="shared" si="3"/>
        <v>-6.5354129235087599E-2</v>
      </c>
      <c r="AC48" s="35">
        <f t="shared" si="17"/>
        <v>-5.5626563188638879E-2</v>
      </c>
      <c r="AD48" s="34">
        <f t="shared" si="18"/>
        <v>-9.7275660464487199E-3</v>
      </c>
    </row>
    <row r="49" spans="1:30" x14ac:dyDescent="0.2">
      <c r="A49" s="26">
        <v>43434</v>
      </c>
      <c r="B49" s="27">
        <v>110.88999938964844</v>
      </c>
      <c r="C49" s="33">
        <f t="shared" si="4"/>
        <v>3.8198688552693705E-2</v>
      </c>
      <c r="D49" s="27">
        <v>163.42999267578125</v>
      </c>
      <c r="E49" s="33">
        <f t="shared" si="5"/>
        <v>-0.22482573041599974</v>
      </c>
      <c r="F49" s="27">
        <v>1094.4300537109375</v>
      </c>
      <c r="G49" s="33">
        <f t="shared" si="6"/>
        <v>1.6400934145041957E-2</v>
      </c>
      <c r="H49" s="27">
        <v>350.48001098632812</v>
      </c>
      <c r="I49" s="33">
        <f t="shared" si="7"/>
        <v>3.9013409748507755E-2</v>
      </c>
      <c r="K49" s="34">
        <f t="shared" si="8"/>
        <v>3.8198688552693705E-2</v>
      </c>
      <c r="L49" s="34">
        <f t="shared" si="19"/>
        <v>-0.22482573041599974</v>
      </c>
      <c r="M49" s="34">
        <f t="shared" si="9"/>
        <v>1.6400934145041957E-2</v>
      </c>
      <c r="N49" s="34">
        <f t="shared" si="10"/>
        <v>3.9013409748507755E-2</v>
      </c>
      <c r="P49" s="35">
        <f t="shared" si="20"/>
        <v>3.8200478344457584E-2</v>
      </c>
      <c r="Q49" s="35" t="str">
        <f t="shared" si="12"/>
        <v/>
      </c>
      <c r="S49" s="29">
        <f t="shared" si="13"/>
        <v>274.40034230529807</v>
      </c>
      <c r="T49" s="52">
        <f t="shared" si="14"/>
        <v>282.78497620323526</v>
      </c>
      <c r="U49" s="35">
        <f t="shared" si="1"/>
        <v>-2.9650209889195867E-2</v>
      </c>
      <c r="W49" s="82">
        <v>1.7899999999999999E-2</v>
      </c>
      <c r="X49" s="34">
        <f t="shared" si="15"/>
        <v>3.8200478344457584E-2</v>
      </c>
      <c r="Y49" s="34">
        <f t="shared" si="16"/>
        <v>2.0300478344457584E-2</v>
      </c>
      <c r="AA49" s="35">
        <f t="shared" si="2"/>
        <v>1.7899999999999999E-2</v>
      </c>
      <c r="AB49" s="34">
        <f t="shared" si="3"/>
        <v>3.8200478344457584E-2</v>
      </c>
      <c r="AC49" s="35">
        <f t="shared" si="17"/>
        <v>2.9392437001992795E-2</v>
      </c>
      <c r="AD49" s="34">
        <f t="shared" si="18"/>
        <v>8.8080413424647883E-3</v>
      </c>
    </row>
    <row r="50" spans="1:30" x14ac:dyDescent="0.2">
      <c r="A50" s="26">
        <v>43465</v>
      </c>
      <c r="B50" s="27">
        <v>101.56999969482422</v>
      </c>
      <c r="C50" s="33">
        <f t="shared" si="4"/>
        <v>-8.4047251746077967E-2</v>
      </c>
      <c r="D50" s="27">
        <v>133.5</v>
      </c>
      <c r="E50" s="33">
        <f t="shared" si="5"/>
        <v>-0.18313647443622871</v>
      </c>
      <c r="F50" s="27">
        <v>1035.6099853515625</v>
      </c>
      <c r="G50" s="33">
        <f t="shared" si="6"/>
        <v>-5.3744931583275646E-2</v>
      </c>
      <c r="H50" s="27">
        <v>332.79998779296875</v>
      </c>
      <c r="I50" s="33">
        <f t="shared" si="7"/>
        <v>-5.044516845227176E-2</v>
      </c>
      <c r="K50" s="34">
        <f t="shared" si="8"/>
        <v>-8.4047251746077967E-2</v>
      </c>
      <c r="L50" s="34">
        <f t="shared" si="19"/>
        <v>-0.18313647443622871</v>
      </c>
      <c r="M50" s="34">
        <f t="shared" si="9"/>
        <v>-5.3744931583275646E-2</v>
      </c>
      <c r="N50" s="34">
        <f t="shared" si="10"/>
        <v>-5.044516845227176E-2</v>
      </c>
      <c r="P50" s="35">
        <f t="shared" si="20"/>
        <v>-8.3973434184639872E-2</v>
      </c>
      <c r="Q50" s="35">
        <f t="shared" si="12"/>
        <v>-8.3973434184639872E-2</v>
      </c>
      <c r="S50" s="29">
        <f t="shared" si="13"/>
        <v>251.35800322048146</v>
      </c>
      <c r="T50" s="52">
        <f t="shared" si="14"/>
        <v>282.78497620323526</v>
      </c>
      <c r="U50" s="35">
        <f t="shared" si="1"/>
        <v>-0.11113381412514467</v>
      </c>
      <c r="W50" s="82">
        <v>-9.1800000000000007E-2</v>
      </c>
      <c r="X50" s="34">
        <f t="shared" si="15"/>
        <v>-8.3973434184639872E-2</v>
      </c>
      <c r="Y50" s="34">
        <f t="shared" si="16"/>
        <v>7.8265658153601342E-3</v>
      </c>
      <c r="AA50" s="35">
        <f t="shared" si="2"/>
        <v>-9.1800000000000007E-2</v>
      </c>
      <c r="AB50" s="34">
        <f t="shared" si="3"/>
        <v>-8.3973434184639872E-2</v>
      </c>
      <c r="AC50" s="35">
        <f t="shared" si="17"/>
        <v>-7.7441289468938412E-2</v>
      </c>
      <c r="AD50" s="34">
        <f t="shared" si="18"/>
        <v>-6.53214471570146E-3</v>
      </c>
    </row>
    <row r="51" spans="1:30" x14ac:dyDescent="0.2">
      <c r="A51" s="26">
        <v>43496</v>
      </c>
      <c r="B51" s="27">
        <v>104.43000030517578</v>
      </c>
      <c r="C51" s="33">
        <f t="shared" si="4"/>
        <v>2.8157926739634576E-2</v>
      </c>
      <c r="D51" s="27">
        <v>143.75</v>
      </c>
      <c r="E51" s="33">
        <f t="shared" si="5"/>
        <v>7.6779026217228541E-2</v>
      </c>
      <c r="F51" s="27">
        <v>1116.3699951171875</v>
      </c>
      <c r="G51" s="33">
        <f t="shared" si="6"/>
        <v>7.7983035030517955E-2</v>
      </c>
      <c r="H51" s="27">
        <v>307.01998901367188</v>
      </c>
      <c r="I51" s="33">
        <f t="shared" si="7"/>
        <v>-7.7463941481074605E-2</v>
      </c>
      <c r="K51" s="34">
        <f t="shared" si="8"/>
        <v>2.8157926739634576E-2</v>
      </c>
      <c r="L51" s="34">
        <f t="shared" si="19"/>
        <v>7.6779026217228541E-2</v>
      </c>
      <c r="M51" s="34">
        <f t="shared" si="9"/>
        <v>7.7983035030517955E-2</v>
      </c>
      <c r="N51" s="34">
        <f t="shared" si="10"/>
        <v>-7.7463941481074605E-2</v>
      </c>
      <c r="P51" s="35">
        <f t="shared" si="20"/>
        <v>2.7925895032599499E-2</v>
      </c>
      <c r="Q51" s="35" t="str">
        <f t="shared" si="12"/>
        <v/>
      </c>
      <c r="S51" s="29">
        <f t="shared" si="13"/>
        <v>258.37740043402044</v>
      </c>
      <c r="T51" s="52">
        <f t="shared" si="14"/>
        <v>282.78497620323526</v>
      </c>
      <c r="U51" s="35">
        <f t="shared" si="1"/>
        <v>-8.6311430320376359E-2</v>
      </c>
      <c r="W51" s="82">
        <v>7.8700000000000006E-2</v>
      </c>
      <c r="X51" s="34">
        <f t="shared" si="15"/>
        <v>2.7925895032599499E-2</v>
      </c>
      <c r="Y51" s="34">
        <f t="shared" si="16"/>
        <v>-5.0774104967400507E-2</v>
      </c>
      <c r="AA51" s="35">
        <f t="shared" si="2"/>
        <v>7.8700000000000006E-2</v>
      </c>
      <c r="AB51" s="34">
        <f t="shared" si="3"/>
        <v>2.7925895032599499E-2</v>
      </c>
      <c r="AC51" s="35">
        <f t="shared" si="17"/>
        <v>8.860383690566298E-2</v>
      </c>
      <c r="AD51" s="34">
        <f t="shared" si="18"/>
        <v>-6.0677941873063482E-2</v>
      </c>
    </row>
    <row r="52" spans="1:30" x14ac:dyDescent="0.2">
      <c r="A52" s="26">
        <v>43524</v>
      </c>
      <c r="B52" s="27">
        <v>112.02999877929688</v>
      </c>
      <c r="C52" s="33">
        <f t="shared" si="4"/>
        <v>7.2776007391665454E-2</v>
      </c>
      <c r="D52" s="27">
        <v>154.25999450683594</v>
      </c>
      <c r="E52" s="33">
        <f t="shared" si="5"/>
        <v>7.3113005264945574E-2</v>
      </c>
      <c r="F52" s="27">
        <v>1119.9200439453125</v>
      </c>
      <c r="G52" s="33">
        <f t="shared" si="6"/>
        <v>3.1799930521712039E-3</v>
      </c>
      <c r="H52" s="27">
        <v>319.8800048828125</v>
      </c>
      <c r="I52" s="33">
        <f t="shared" si="7"/>
        <v>4.1886575237184198E-2</v>
      </c>
      <c r="K52" s="34">
        <f t="shared" si="8"/>
        <v>7.2776007391665454E-2</v>
      </c>
      <c r="L52" s="34">
        <f t="shared" si="19"/>
        <v>7.3113005264945574E-2</v>
      </c>
      <c r="M52" s="34">
        <f t="shared" si="9"/>
        <v>3.1799930521712039E-3</v>
      </c>
      <c r="N52" s="34">
        <f t="shared" si="10"/>
        <v>4.1886575237184198E-2</v>
      </c>
      <c r="P52" s="35">
        <f t="shared" si="20"/>
        <v>7.2708149023006749E-2</v>
      </c>
      <c r="Q52" s="35" t="str">
        <f t="shared" si="12"/>
        <v/>
      </c>
      <c r="S52" s="29">
        <f t="shared" si="13"/>
        <v>277.16354296895429</v>
      </c>
      <c r="T52" s="52">
        <f t="shared" si="14"/>
        <v>282.78497620323526</v>
      </c>
      <c r="U52" s="35">
        <f t="shared" si="1"/>
        <v>-1.987882563549237E-2</v>
      </c>
      <c r="W52" s="82">
        <v>2.9700000000000001E-2</v>
      </c>
      <c r="X52" s="34">
        <f t="shared" si="15"/>
        <v>7.2708149023006749E-2</v>
      </c>
      <c r="Y52" s="34">
        <f t="shared" si="16"/>
        <v>4.3008149023006745E-2</v>
      </c>
      <c r="AA52" s="35">
        <f t="shared" si="2"/>
        <v>2.9700000000000001E-2</v>
      </c>
      <c r="AB52" s="34">
        <f t="shared" si="3"/>
        <v>7.2708149023006749E-2</v>
      </c>
      <c r="AC52" s="35">
        <f t="shared" si="17"/>
        <v>4.0884123167507731E-2</v>
      </c>
      <c r="AD52" s="34">
        <f t="shared" si="18"/>
        <v>3.1824025855499018E-2</v>
      </c>
    </row>
    <row r="53" spans="1:30" x14ac:dyDescent="0.2">
      <c r="A53" s="26">
        <v>43553</v>
      </c>
      <c r="B53" s="27">
        <v>117.94000244140625</v>
      </c>
      <c r="C53" s="33">
        <f t="shared" si="4"/>
        <v>5.2753759943819034E-2</v>
      </c>
      <c r="D53" s="27">
        <v>179.55999755859375</v>
      </c>
      <c r="E53" s="33">
        <f t="shared" si="5"/>
        <v>0.16400884190772258</v>
      </c>
      <c r="F53" s="27">
        <v>1173.31005859375</v>
      </c>
      <c r="G53" s="33">
        <f t="shared" si="6"/>
        <v>4.767305928408283E-2</v>
      </c>
      <c r="H53" s="27">
        <v>279.8599853515625</v>
      </c>
      <c r="I53" s="33">
        <f t="shared" si="7"/>
        <v>-0.12510947517932935</v>
      </c>
      <c r="K53" s="34">
        <f t="shared" si="8"/>
        <v>5.2753759943819034E-2</v>
      </c>
      <c r="L53" s="34">
        <f t="shared" si="19"/>
        <v>0.16400884190772258</v>
      </c>
      <c r="M53" s="34">
        <f t="shared" si="9"/>
        <v>4.767305928408283E-2</v>
      </c>
      <c r="N53" s="34">
        <f t="shared" si="10"/>
        <v>-0.12510947517932935</v>
      </c>
      <c r="P53" s="35">
        <f t="shared" si="20"/>
        <v>5.2363027316574016E-2</v>
      </c>
      <c r="Q53" s="35" t="str">
        <f t="shared" si="12"/>
        <v/>
      </c>
      <c r="S53" s="29">
        <f t="shared" si="13"/>
        <v>291.67666514059607</v>
      </c>
      <c r="T53" s="52">
        <f t="shared" si="14"/>
        <v>291.67666514059607</v>
      </c>
      <c r="U53" s="35">
        <f t="shared" si="1"/>
        <v>0</v>
      </c>
      <c r="W53" s="82">
        <v>1.7899999999999999E-2</v>
      </c>
      <c r="X53" s="34">
        <f t="shared" si="15"/>
        <v>5.2363027316574016E-2</v>
      </c>
      <c r="Y53" s="34">
        <f t="shared" si="16"/>
        <v>3.4463027316574017E-2</v>
      </c>
      <c r="AA53" s="35">
        <f t="shared" si="2"/>
        <v>1.7899999999999999E-2</v>
      </c>
      <c r="AB53" s="34">
        <f t="shared" si="3"/>
        <v>5.2363027316574016E-2</v>
      </c>
      <c r="AC53" s="35">
        <f t="shared" si="17"/>
        <v>2.9392437001992795E-2</v>
      </c>
      <c r="AD53" s="34">
        <f t="shared" si="18"/>
        <v>2.2970590314581221E-2</v>
      </c>
    </row>
    <row r="54" spans="1:30" x14ac:dyDescent="0.2">
      <c r="A54" s="26">
        <v>43585</v>
      </c>
      <c r="B54" s="27">
        <v>130.60000610351562</v>
      </c>
      <c r="C54" s="33">
        <f t="shared" si="4"/>
        <v>0.10734274546415223</v>
      </c>
      <c r="D54" s="27">
        <v>181</v>
      </c>
      <c r="E54" s="33">
        <f t="shared" si="5"/>
        <v>8.0196171808053496E-3</v>
      </c>
      <c r="F54" s="27">
        <v>1188.47998046875</v>
      </c>
      <c r="G54" s="33">
        <f t="shared" si="6"/>
        <v>1.2929167157385235E-2</v>
      </c>
      <c r="H54" s="27">
        <v>238.69000244140625</v>
      </c>
      <c r="I54" s="33">
        <f t="shared" si="7"/>
        <v>-0.14710921555447865</v>
      </c>
      <c r="K54" s="34">
        <f t="shared" si="8"/>
        <v>0.10734274546415223</v>
      </c>
      <c r="L54" s="34">
        <f t="shared" si="19"/>
        <v>8.0196171808053496E-3</v>
      </c>
      <c r="M54" s="34">
        <f t="shared" si="9"/>
        <v>1.2929167157385235E-2</v>
      </c>
      <c r="N54" s="34">
        <f t="shared" si="10"/>
        <v>-0.14710921555447865</v>
      </c>
      <c r="P54" s="35">
        <f t="shared" si="20"/>
        <v>0.106783761573144</v>
      </c>
      <c r="Q54" s="35" t="str">
        <f t="shared" si="12"/>
        <v/>
      </c>
      <c r="S54" s="29">
        <f t="shared" si="13"/>
        <v>322.82299660741921</v>
      </c>
      <c r="T54" s="52">
        <f t="shared" si="14"/>
        <v>322.82299660741921</v>
      </c>
      <c r="U54" s="35">
        <f t="shared" si="1"/>
        <v>0</v>
      </c>
      <c r="W54" s="82">
        <v>3.9300000000000002E-2</v>
      </c>
      <c r="X54" s="34">
        <f t="shared" si="15"/>
        <v>0.106783761573144</v>
      </c>
      <c r="Y54" s="34">
        <f t="shared" si="16"/>
        <v>6.7483761573143994E-2</v>
      </c>
      <c r="AA54" s="35">
        <f t="shared" si="2"/>
        <v>3.9300000000000002E-2</v>
      </c>
      <c r="AB54" s="34">
        <f t="shared" si="3"/>
        <v>0.106783761573144</v>
      </c>
      <c r="AC54" s="35">
        <f t="shared" si="17"/>
        <v>5.0233291573350387E-2</v>
      </c>
      <c r="AD54" s="34">
        <f t="shared" si="18"/>
        <v>5.6550469999793608E-2</v>
      </c>
    </row>
    <row r="55" spans="1:30" x14ac:dyDescent="0.2">
      <c r="A55" s="26">
        <v>43616</v>
      </c>
      <c r="B55" s="27">
        <v>123.68000030517578</v>
      </c>
      <c r="C55" s="33">
        <f t="shared" si="4"/>
        <v>-5.2986259379306122E-2</v>
      </c>
      <c r="D55" s="27">
        <v>135.46000671386719</v>
      </c>
      <c r="E55" s="33">
        <f t="shared" si="5"/>
        <v>-0.2516021728515625</v>
      </c>
      <c r="F55" s="27">
        <v>1103.6300048828125</v>
      </c>
      <c r="G55" s="33">
        <f t="shared" si="6"/>
        <v>-7.1393693608933773E-2</v>
      </c>
      <c r="H55" s="27">
        <v>185.16000366210938</v>
      </c>
      <c r="I55" s="33">
        <f t="shared" si="7"/>
        <v>-0.22426577666334158</v>
      </c>
      <c r="K55" s="34">
        <f t="shared" si="8"/>
        <v>-5.2986259379306122E-2</v>
      </c>
      <c r="L55" s="34">
        <f t="shared" si="19"/>
        <v>-0.2516021728515625</v>
      </c>
      <c r="M55" s="34">
        <f t="shared" si="9"/>
        <v>-7.1393693608933773E-2</v>
      </c>
      <c r="N55" s="34">
        <f t="shared" si="10"/>
        <v>-0.22426577666334158</v>
      </c>
      <c r="P55" s="35">
        <f t="shared" si="20"/>
        <v>-5.3362528796284468E-2</v>
      </c>
      <c r="Q55" s="35">
        <f t="shared" si="12"/>
        <v>-5.3362528796284468E-2</v>
      </c>
      <c r="S55" s="29">
        <f t="shared" si="13"/>
        <v>305.596345154853</v>
      </c>
      <c r="T55" s="52">
        <f t="shared" si="14"/>
        <v>322.82299660741921</v>
      </c>
      <c r="U55" s="35">
        <f t="shared" si="1"/>
        <v>-5.3362528796284336E-2</v>
      </c>
      <c r="W55" s="82">
        <v>-6.5799999999999997E-2</v>
      </c>
      <c r="X55" s="34">
        <f t="shared" si="15"/>
        <v>-5.3362528796284468E-2</v>
      </c>
      <c r="Y55" s="34">
        <f t="shared" si="16"/>
        <v>1.2437471203715529E-2</v>
      </c>
      <c r="AA55" s="35">
        <f t="shared" si="2"/>
        <v>-6.5799999999999997E-2</v>
      </c>
      <c r="AB55" s="34">
        <f t="shared" si="3"/>
        <v>-5.3362528796284468E-2</v>
      </c>
      <c r="AC55" s="35">
        <f t="shared" si="17"/>
        <v>-5.2120625036447869E-2</v>
      </c>
      <c r="AD55" s="34">
        <f t="shared" si="18"/>
        <v>-1.241903759836599E-3</v>
      </c>
    </row>
    <row r="56" spans="1:30" x14ac:dyDescent="0.2">
      <c r="A56" s="26">
        <v>43644</v>
      </c>
      <c r="B56" s="27">
        <v>133.96000671386719</v>
      </c>
      <c r="C56" s="33">
        <f t="shared" si="4"/>
        <v>8.3117774768158847E-2</v>
      </c>
      <c r="D56" s="27">
        <v>164.22999572753906</v>
      </c>
      <c r="E56" s="33">
        <f t="shared" si="5"/>
        <v>0.21238732901027291</v>
      </c>
      <c r="F56" s="27">
        <v>1080.9100341796875</v>
      </c>
      <c r="G56" s="33">
        <f t="shared" si="6"/>
        <v>-2.0586583005721693E-2</v>
      </c>
      <c r="H56" s="27">
        <v>223.46000671386719</v>
      </c>
      <c r="I56" s="33">
        <f t="shared" si="7"/>
        <v>0.20684814373653748</v>
      </c>
      <c r="K56" s="34">
        <f t="shared" si="8"/>
        <v>8.3117774768158847E-2</v>
      </c>
      <c r="L56" s="34">
        <f t="shared" si="19"/>
        <v>0.21238732901027291</v>
      </c>
      <c r="M56" s="34">
        <f t="shared" si="9"/>
        <v>-2.0586583005721693E-2</v>
      </c>
      <c r="N56" s="34">
        <f t="shared" si="10"/>
        <v>0.20684814373653748</v>
      </c>
      <c r="P56" s="35">
        <f t="shared" si="20"/>
        <v>8.3389587501709772E-2</v>
      </c>
      <c r="Q56" s="35" t="str">
        <f t="shared" si="12"/>
        <v/>
      </c>
      <c r="S56" s="29">
        <f t="shared" si="13"/>
        <v>331.07989831934634</v>
      </c>
      <c r="T56" s="52">
        <f t="shared" si="14"/>
        <v>331.07989831934634</v>
      </c>
      <c r="U56" s="35">
        <f t="shared" si="1"/>
        <v>0</v>
      </c>
      <c r="W56" s="82">
        <v>6.8900000000000003E-2</v>
      </c>
      <c r="X56" s="34">
        <f t="shared" si="15"/>
        <v>8.3389587501709772E-2</v>
      </c>
      <c r="Y56" s="34">
        <f t="shared" si="16"/>
        <v>1.4489587501709769E-2</v>
      </c>
      <c r="AA56" s="35">
        <f t="shared" si="2"/>
        <v>6.8900000000000003E-2</v>
      </c>
      <c r="AB56" s="34">
        <f t="shared" si="3"/>
        <v>8.3389587501709772E-2</v>
      </c>
      <c r="AC56" s="35">
        <f t="shared" si="17"/>
        <v>7.9059894158031926E-2</v>
      </c>
      <c r="AD56" s="34">
        <f t="shared" si="18"/>
        <v>4.3296933436778456E-3</v>
      </c>
    </row>
    <row r="57" spans="1:30" x14ac:dyDescent="0.2">
      <c r="A57" s="26">
        <v>43677</v>
      </c>
      <c r="B57" s="27">
        <v>136.27000427246094</v>
      </c>
      <c r="C57" s="33">
        <f t="shared" si="4"/>
        <v>1.7243934329801869E-2</v>
      </c>
      <c r="D57" s="27">
        <v>168.72000122070312</v>
      </c>
      <c r="E57" s="33">
        <f t="shared" si="5"/>
        <v>2.7339740668404389E-2</v>
      </c>
      <c r="F57" s="27">
        <v>1216.6800537109375</v>
      </c>
      <c r="G57" s="33">
        <f t="shared" si="6"/>
        <v>0.12560714142531482</v>
      </c>
      <c r="H57" s="27">
        <v>241.61000061035156</v>
      </c>
      <c r="I57" s="33">
        <f t="shared" si="7"/>
        <v>8.122256041871867E-2</v>
      </c>
      <c r="K57" s="34">
        <f t="shared" si="8"/>
        <v>1.7243934329801869E-2</v>
      </c>
      <c r="L57" s="34">
        <f t="shared" si="19"/>
        <v>2.7339740668404389E-2</v>
      </c>
      <c r="M57" s="34">
        <f t="shared" si="9"/>
        <v>0.12560714142531482</v>
      </c>
      <c r="N57" s="34">
        <f t="shared" si="10"/>
        <v>8.122256041871867E-2</v>
      </c>
      <c r="P57" s="35">
        <f t="shared" si="20"/>
        <v>1.7384483536848211E-2</v>
      </c>
      <c r="Q57" s="35" t="str">
        <f t="shared" si="12"/>
        <v/>
      </c>
      <c r="S57" s="29">
        <f t="shared" si="13"/>
        <v>336.83555136106037</v>
      </c>
      <c r="T57" s="52">
        <f t="shared" si="14"/>
        <v>336.83555136106037</v>
      </c>
      <c r="U57" s="35">
        <f t="shared" si="1"/>
        <v>0</v>
      </c>
      <c r="W57" s="82">
        <v>1.3100000000000001E-2</v>
      </c>
      <c r="X57" s="34">
        <f t="shared" si="15"/>
        <v>1.7384483536848211E-2</v>
      </c>
      <c r="Y57" s="34">
        <f t="shared" si="16"/>
        <v>4.2844835368482104E-3</v>
      </c>
      <c r="AA57" s="35">
        <f t="shared" si="2"/>
        <v>1.3100000000000001E-2</v>
      </c>
      <c r="AB57" s="34">
        <f t="shared" si="3"/>
        <v>1.7384483536848211E-2</v>
      </c>
      <c r="AC57" s="35">
        <f t="shared" si="17"/>
        <v>2.4717852799071467E-2</v>
      </c>
      <c r="AD57" s="34">
        <f t="shared" si="18"/>
        <v>-7.3333692622232563E-3</v>
      </c>
    </row>
    <row r="58" spans="1:30" x14ac:dyDescent="0.2">
      <c r="A58" s="26">
        <v>43707</v>
      </c>
      <c r="B58" s="27">
        <v>137.86000061035156</v>
      </c>
      <c r="C58" s="33">
        <f t="shared" si="4"/>
        <v>1.1667984795183273E-2</v>
      </c>
      <c r="D58" s="27">
        <v>167.50999450683594</v>
      </c>
      <c r="E58" s="33">
        <f t="shared" si="5"/>
        <v>-7.1716850706062818E-3</v>
      </c>
      <c r="F58" s="27">
        <v>1188.0999755859375</v>
      </c>
      <c r="G58" s="33">
        <f t="shared" si="6"/>
        <v>-2.3490216707201972E-2</v>
      </c>
      <c r="H58" s="27">
        <v>225.61000061035156</v>
      </c>
      <c r="I58" s="33">
        <f t="shared" si="7"/>
        <v>-6.6222424401229385E-2</v>
      </c>
      <c r="K58" s="34">
        <f t="shared" si="8"/>
        <v>1.1667984795183273E-2</v>
      </c>
      <c r="L58" s="34">
        <f t="shared" si="19"/>
        <v>-7.1716850706062818E-3</v>
      </c>
      <c r="M58" s="34">
        <f t="shared" si="9"/>
        <v>-2.3490216707201972E-2</v>
      </c>
      <c r="N58" s="34">
        <f t="shared" si="10"/>
        <v>-6.6222424401229385E-2</v>
      </c>
      <c r="P58" s="35">
        <f t="shared" si="20"/>
        <v>1.1496873973987234E-2</v>
      </c>
      <c r="Q58" s="35" t="str">
        <f t="shared" si="12"/>
        <v/>
      </c>
      <c r="S58" s="29">
        <f t="shared" si="13"/>
        <v>340.70810724501695</v>
      </c>
      <c r="T58" s="52">
        <f t="shared" si="14"/>
        <v>340.70810724501695</v>
      </c>
      <c r="U58" s="35">
        <f t="shared" si="1"/>
        <v>0</v>
      </c>
      <c r="W58" s="82">
        <v>-1.8100000000000002E-2</v>
      </c>
      <c r="X58" s="34">
        <f t="shared" si="15"/>
        <v>1.1496873973987234E-2</v>
      </c>
      <c r="Y58" s="34">
        <f t="shared" si="16"/>
        <v>2.9596873973987234E-2</v>
      </c>
      <c r="AA58" s="35">
        <f t="shared" si="2"/>
        <v>-1.8100000000000002E-2</v>
      </c>
      <c r="AB58" s="34">
        <f t="shared" si="3"/>
        <v>1.1496873973987234E-2</v>
      </c>
      <c r="AC58" s="35">
        <f t="shared" si="17"/>
        <v>-5.6669445199171702E-3</v>
      </c>
      <c r="AD58" s="34">
        <f t="shared" si="18"/>
        <v>1.7163818493904404E-2</v>
      </c>
    </row>
    <row r="59" spans="1:30" x14ac:dyDescent="0.2">
      <c r="A59" s="26">
        <v>43738</v>
      </c>
      <c r="B59" s="27">
        <v>139.02999877929688</v>
      </c>
      <c r="C59" s="33">
        <f t="shared" si="4"/>
        <v>8.4868574188694534E-3</v>
      </c>
      <c r="D59" s="27">
        <v>174.07000732421875</v>
      </c>
      <c r="E59" s="33">
        <f t="shared" si="5"/>
        <v>3.916191888547349E-2</v>
      </c>
      <c r="F59" s="27">
        <v>1219</v>
      </c>
      <c r="G59" s="33">
        <f t="shared" si="6"/>
        <v>2.6007932875197204E-2</v>
      </c>
      <c r="H59" s="27">
        <v>240.8699951171875</v>
      </c>
      <c r="I59" s="33">
        <f t="shared" si="7"/>
        <v>6.763882126480425E-2</v>
      </c>
      <c r="K59" s="34">
        <f t="shared" si="8"/>
        <v>8.4868574188694534E-3</v>
      </c>
      <c r="L59" s="34">
        <f t="shared" si="19"/>
        <v>3.916191888547349E-2</v>
      </c>
      <c r="M59" s="34">
        <f t="shared" si="9"/>
        <v>2.6007932875197204E-2</v>
      </c>
      <c r="N59" s="34">
        <f t="shared" si="10"/>
        <v>6.763882126480425E-2</v>
      </c>
      <c r="P59" s="35">
        <f t="shared" si="20"/>
        <v>8.6168033417816682E-3</v>
      </c>
      <c r="Q59" s="35" t="str">
        <f t="shared" si="12"/>
        <v/>
      </c>
      <c r="S59" s="29">
        <f t="shared" si="13"/>
        <v>343.64392200209795</v>
      </c>
      <c r="T59" s="52">
        <f t="shared" si="14"/>
        <v>343.64392200209795</v>
      </c>
      <c r="U59" s="35">
        <f t="shared" si="1"/>
        <v>0</v>
      </c>
      <c r="W59" s="82">
        <v>1.72E-2</v>
      </c>
      <c r="X59" s="34">
        <f t="shared" si="15"/>
        <v>8.6168033417816682E-3</v>
      </c>
      <c r="Y59" s="34">
        <f t="shared" si="16"/>
        <v>-8.5831966582183318E-3</v>
      </c>
      <c r="AA59" s="35">
        <f t="shared" si="2"/>
        <v>1.72E-2</v>
      </c>
      <c r="AB59" s="34">
        <f t="shared" si="3"/>
        <v>8.6168033417816682E-3</v>
      </c>
      <c r="AC59" s="35">
        <f t="shared" si="17"/>
        <v>2.8710726805733437E-2</v>
      </c>
      <c r="AD59" s="34">
        <f t="shared" si="18"/>
        <v>-2.0093923463951769E-2</v>
      </c>
    </row>
    <row r="60" spans="1:30" x14ac:dyDescent="0.2">
      <c r="A60" s="26">
        <v>43769</v>
      </c>
      <c r="B60" s="27">
        <v>143.3699951171875</v>
      </c>
      <c r="C60" s="33">
        <f t="shared" si="4"/>
        <v>3.1216258188854207E-2</v>
      </c>
      <c r="D60" s="27">
        <v>201.02000427246094</v>
      </c>
      <c r="E60" s="33">
        <f t="shared" si="5"/>
        <v>0.15482274840171484</v>
      </c>
      <c r="F60" s="27">
        <v>1260.1099853515625</v>
      </c>
      <c r="G60" s="33">
        <f t="shared" si="6"/>
        <v>3.3724352216212061E-2</v>
      </c>
      <c r="H60" s="27">
        <v>314.92001342773438</v>
      </c>
      <c r="I60" s="33">
        <f t="shared" si="7"/>
        <v>0.30742732516152649</v>
      </c>
      <c r="K60" s="34">
        <f t="shared" si="8"/>
        <v>3.1216258188854207E-2</v>
      </c>
      <c r="L60" s="34">
        <f t="shared" si="19"/>
        <v>0.15482274840171484</v>
      </c>
      <c r="M60" s="34">
        <f t="shared" si="9"/>
        <v>3.3724352216212061E-2</v>
      </c>
      <c r="N60" s="34">
        <f t="shared" si="10"/>
        <v>0.30742732516152649</v>
      </c>
      <c r="P60" s="35">
        <f t="shared" si="20"/>
        <v>3.1823042810744613E-2</v>
      </c>
      <c r="Q60" s="35" t="str">
        <f t="shared" si="12"/>
        <v/>
      </c>
      <c r="S60" s="29">
        <f t="shared" si="13"/>
        <v>354.57971724362289</v>
      </c>
      <c r="T60" s="52">
        <f t="shared" si="14"/>
        <v>354.57971724362289</v>
      </c>
      <c r="U60" s="35">
        <f t="shared" si="1"/>
        <v>0</v>
      </c>
      <c r="W60" s="82">
        <v>2.0400000000000001E-2</v>
      </c>
      <c r="X60" s="34">
        <f t="shared" si="15"/>
        <v>3.1823042810744613E-2</v>
      </c>
      <c r="Y60" s="34">
        <f t="shared" si="16"/>
        <v>1.1423042810744612E-2</v>
      </c>
      <c r="AA60" s="35">
        <f t="shared" si="2"/>
        <v>2.0400000000000001E-2</v>
      </c>
      <c r="AB60" s="34">
        <f t="shared" si="3"/>
        <v>3.1823042810744613E-2</v>
      </c>
      <c r="AC60" s="35">
        <f t="shared" si="17"/>
        <v>3.1827116274347658E-2</v>
      </c>
      <c r="AD60" s="34">
        <f t="shared" si="18"/>
        <v>-4.0734636030451132E-6</v>
      </c>
    </row>
    <row r="61" spans="1:30" x14ac:dyDescent="0.2">
      <c r="A61" s="26">
        <v>43798</v>
      </c>
      <c r="B61" s="27">
        <v>151.3800048828125</v>
      </c>
      <c r="C61" s="33">
        <f t="shared" si="4"/>
        <v>5.5869498768398529E-2</v>
      </c>
      <c r="D61" s="27">
        <v>216.74000549316406</v>
      </c>
      <c r="E61" s="33">
        <f t="shared" si="5"/>
        <v>7.8201178423001005E-2</v>
      </c>
      <c r="F61" s="27">
        <v>1304.9599609375</v>
      </c>
      <c r="G61" s="33">
        <f t="shared" si="6"/>
        <v>3.5592111884919841E-2</v>
      </c>
      <c r="H61" s="27">
        <v>329.94000244140625</v>
      </c>
      <c r="I61" s="33">
        <f t="shared" si="7"/>
        <v>4.7694615690464959E-2</v>
      </c>
      <c r="K61" s="34">
        <f t="shared" si="8"/>
        <v>5.5869498768398529E-2</v>
      </c>
      <c r="L61" s="34">
        <f t="shared" si="19"/>
        <v>7.8201178423001005E-2</v>
      </c>
      <c r="M61" s="34">
        <f t="shared" si="9"/>
        <v>3.5592111884919841E-2</v>
      </c>
      <c r="N61" s="34">
        <f t="shared" si="10"/>
        <v>4.7694615690464959E-2</v>
      </c>
      <c r="P61" s="35">
        <f t="shared" si="20"/>
        <v>5.5851540062428519E-2</v>
      </c>
      <c r="Q61" s="35" t="str">
        <f t="shared" si="12"/>
        <v/>
      </c>
      <c r="S61" s="29">
        <f t="shared" si="13"/>
        <v>374.38354052657962</v>
      </c>
      <c r="T61" s="52">
        <f t="shared" si="14"/>
        <v>374.38354052657962</v>
      </c>
      <c r="U61" s="35">
        <f t="shared" si="1"/>
        <v>0</v>
      </c>
      <c r="W61" s="82">
        <v>3.4000000000000002E-2</v>
      </c>
      <c r="X61" s="34">
        <f t="shared" si="15"/>
        <v>5.5851540062428519E-2</v>
      </c>
      <c r="Y61" s="34">
        <f t="shared" si="16"/>
        <v>2.1851540062428516E-2</v>
      </c>
      <c r="AA61" s="35">
        <f t="shared" si="2"/>
        <v>3.4000000000000002E-2</v>
      </c>
      <c r="AB61" s="34">
        <f t="shared" si="3"/>
        <v>5.5851540062428519E-2</v>
      </c>
      <c r="AC61" s="35">
        <f t="shared" si="17"/>
        <v>4.5071771515958092E-2</v>
      </c>
      <c r="AD61" s="34">
        <f t="shared" si="18"/>
        <v>1.0779768546470427E-2</v>
      </c>
    </row>
    <row r="62" spans="1:30" x14ac:dyDescent="0.2">
      <c r="A62" s="26">
        <v>43830</v>
      </c>
      <c r="B62" s="27">
        <v>157.69999694824219</v>
      </c>
      <c r="C62" s="33">
        <f t="shared" si="4"/>
        <v>4.1749186560815499E-2</v>
      </c>
      <c r="D62" s="27">
        <v>235.30000305175781</v>
      </c>
      <c r="E62" s="33">
        <f t="shared" si="5"/>
        <v>8.5632541700655818E-2</v>
      </c>
      <c r="F62" s="27">
        <v>1337.02001953125</v>
      </c>
      <c r="G62" s="33">
        <f t="shared" si="6"/>
        <v>2.4567848480743892E-2</v>
      </c>
      <c r="H62" s="27">
        <v>418.32998657226562</v>
      </c>
      <c r="I62" s="33">
        <f t="shared" si="7"/>
        <v>0.26789714334974124</v>
      </c>
      <c r="K62" s="34">
        <f t="shared" si="8"/>
        <v>4.1749186560815499E-2</v>
      </c>
      <c r="L62" s="34">
        <f t="shared" si="19"/>
        <v>8.5632541700655818E-2</v>
      </c>
      <c r="M62" s="34">
        <f t="shared" si="9"/>
        <v>2.4567848480743892E-2</v>
      </c>
      <c r="N62" s="34">
        <f t="shared" si="10"/>
        <v>0.26789714334974124</v>
      </c>
      <c r="P62" s="35">
        <f t="shared" si="20"/>
        <v>4.2245991790075335E-2</v>
      </c>
      <c r="Q62" s="35" t="str">
        <f t="shared" si="12"/>
        <v/>
      </c>
      <c r="S62" s="29">
        <f t="shared" si="13"/>
        <v>390.19974450600483</v>
      </c>
      <c r="T62" s="52">
        <f t="shared" si="14"/>
        <v>390.19974450600483</v>
      </c>
      <c r="U62" s="35">
        <f t="shared" si="1"/>
        <v>0</v>
      </c>
      <c r="W62" s="82">
        <v>2.86E-2</v>
      </c>
      <c r="X62" s="34">
        <f t="shared" si="15"/>
        <v>4.2245991790075335E-2</v>
      </c>
      <c r="Y62" s="34">
        <f t="shared" si="16"/>
        <v>1.3645991790075335E-2</v>
      </c>
      <c r="AA62" s="35">
        <f t="shared" si="2"/>
        <v>2.86E-2</v>
      </c>
      <c r="AB62" s="34">
        <f t="shared" si="3"/>
        <v>4.2245991790075335E-2</v>
      </c>
      <c r="AC62" s="35">
        <f t="shared" si="17"/>
        <v>3.9812864287671591E-2</v>
      </c>
      <c r="AD62" s="34">
        <f t="shared" si="18"/>
        <v>2.4331275024037438E-3</v>
      </c>
    </row>
    <row r="63" spans="1:30" x14ac:dyDescent="0.2">
      <c r="A63" s="26">
        <v>43861</v>
      </c>
      <c r="B63" s="27">
        <v>170.22999572753906</v>
      </c>
      <c r="C63" s="33">
        <f t="shared" si="4"/>
        <v>7.9454654545169534E-2</v>
      </c>
      <c r="D63" s="27">
        <v>236.42999267578125</v>
      </c>
      <c r="E63" s="33">
        <f t="shared" si="5"/>
        <v>4.802335781418865E-3</v>
      </c>
      <c r="F63" s="27">
        <v>1434.22998046875</v>
      </c>
      <c r="G63" s="33">
        <f t="shared" si="6"/>
        <v>7.2706436341604785E-2</v>
      </c>
      <c r="H63" s="27">
        <v>650.57000732421875</v>
      </c>
      <c r="I63" s="33">
        <f t="shared" si="7"/>
        <v>0.55515986949655161</v>
      </c>
      <c r="K63" s="34">
        <f t="shared" si="8"/>
        <v>7.9454654545169534E-2</v>
      </c>
      <c r="L63" s="34">
        <f t="shared" si="19"/>
        <v>4.802335781418865E-3</v>
      </c>
      <c r="M63" s="34">
        <f t="shared" si="9"/>
        <v>7.2706436341604785E-2</v>
      </c>
      <c r="N63" s="34">
        <f t="shared" si="10"/>
        <v>0.55515986949655161</v>
      </c>
      <c r="P63" s="35">
        <f t="shared" si="20"/>
        <v>8.0499690908662297E-2</v>
      </c>
      <c r="Q63" s="35" t="str">
        <f t="shared" si="12"/>
        <v/>
      </c>
      <c r="S63" s="29">
        <f t="shared" si="13"/>
        <v>421.61070333137724</v>
      </c>
      <c r="T63" s="52">
        <f t="shared" si="14"/>
        <v>421.61070333137724</v>
      </c>
      <c r="U63" s="35">
        <f t="shared" si="1"/>
        <v>0</v>
      </c>
      <c r="W63" s="82">
        <v>-1.6000000000000001E-3</v>
      </c>
      <c r="X63" s="34">
        <f t="shared" si="15"/>
        <v>8.0499690908662297E-2</v>
      </c>
      <c r="Y63" s="34">
        <f t="shared" si="16"/>
        <v>8.2099690908662301E-2</v>
      </c>
      <c r="AA63" s="35">
        <f t="shared" si="2"/>
        <v>-1.6000000000000001E-3</v>
      </c>
      <c r="AB63" s="34">
        <f t="shared" si="3"/>
        <v>8.0499690908662297E-2</v>
      </c>
      <c r="AC63" s="35">
        <f t="shared" si="17"/>
        <v>1.04019386776249E-2</v>
      </c>
      <c r="AD63" s="34">
        <f t="shared" si="18"/>
        <v>7.0097752231037397E-2</v>
      </c>
    </row>
    <row r="64" spans="1:30" x14ac:dyDescent="0.2">
      <c r="A64" s="26">
        <v>43889</v>
      </c>
      <c r="B64" s="27">
        <v>162.00999450683594</v>
      </c>
      <c r="C64" s="33">
        <f t="shared" si="4"/>
        <v>-4.8287619262234016E-2</v>
      </c>
      <c r="D64" s="27">
        <v>270.07000732421875</v>
      </c>
      <c r="E64" s="33">
        <f t="shared" si="5"/>
        <v>0.14228319456308736</v>
      </c>
      <c r="F64" s="27">
        <v>1339.3299560546875</v>
      </c>
      <c r="G64" s="33">
        <f t="shared" si="6"/>
        <v>-6.6167926836284807E-2</v>
      </c>
      <c r="H64" s="27">
        <v>667.989990234375</v>
      </c>
      <c r="I64" s="33">
        <f t="shared" si="7"/>
        <v>2.677649248203795E-2</v>
      </c>
      <c r="K64" s="34">
        <f t="shared" si="8"/>
        <v>-4.8287619262234016E-2</v>
      </c>
      <c r="L64" s="34">
        <f t="shared" si="19"/>
        <v>0.14228319456308736</v>
      </c>
      <c r="M64" s="34">
        <f t="shared" si="9"/>
        <v>-6.6167926836284807E-2</v>
      </c>
      <c r="N64" s="34">
        <f t="shared" si="10"/>
        <v>2.677649248203795E-2</v>
      </c>
      <c r="P64" s="35">
        <f t="shared" si="20"/>
        <v>-4.8122717293744906E-2</v>
      </c>
      <c r="Q64" s="35">
        <f t="shared" si="12"/>
        <v>-4.8122717293744906E-2</v>
      </c>
      <c r="S64" s="29">
        <f t="shared" si="13"/>
        <v>401.32165064694442</v>
      </c>
      <c r="T64" s="52">
        <f t="shared" si="14"/>
        <v>421.61070333137724</v>
      </c>
      <c r="U64" s="35">
        <f t="shared" si="1"/>
        <v>-4.8122717293744954E-2</v>
      </c>
      <c r="W64" s="82">
        <v>-8.4099999999999994E-2</v>
      </c>
      <c r="X64" s="34">
        <f t="shared" si="15"/>
        <v>-4.8122717293744906E-2</v>
      </c>
      <c r="Y64" s="34">
        <f t="shared" si="16"/>
        <v>3.5977282706255088E-2</v>
      </c>
      <c r="AA64" s="35">
        <f t="shared" si="2"/>
        <v>-8.4099999999999994E-2</v>
      </c>
      <c r="AB64" s="34">
        <f t="shared" si="3"/>
        <v>-4.8122717293744906E-2</v>
      </c>
      <c r="AC64" s="35">
        <f t="shared" si="17"/>
        <v>-6.9942477310085432E-2</v>
      </c>
      <c r="AD64" s="34">
        <f t="shared" si="18"/>
        <v>2.1819760016340527E-2</v>
      </c>
    </row>
    <row r="65" spans="1:30" x14ac:dyDescent="0.2">
      <c r="A65" s="26">
        <v>43921</v>
      </c>
      <c r="B65" s="27">
        <v>157.71000671386719</v>
      </c>
      <c r="C65" s="33">
        <f t="shared" si="4"/>
        <v>-2.6541497060462604E-2</v>
      </c>
      <c r="D65" s="27">
        <v>263.60000610351562</v>
      </c>
      <c r="E65" s="33">
        <f t="shared" si="5"/>
        <v>-2.3956755823448028E-2</v>
      </c>
      <c r="F65" s="27">
        <v>1162.81005859375</v>
      </c>
      <c r="G65" s="33">
        <f t="shared" si="6"/>
        <v>-0.13179716966901756</v>
      </c>
      <c r="H65" s="27">
        <v>524</v>
      </c>
      <c r="I65" s="33">
        <f t="shared" si="7"/>
        <v>-0.21555710765045122</v>
      </c>
      <c r="K65" s="34">
        <f t="shared" si="8"/>
        <v>-2.6541497060462604E-2</v>
      </c>
      <c r="L65" s="34">
        <f t="shared" si="19"/>
        <v>-2.3956755823448028E-2</v>
      </c>
      <c r="M65" s="34">
        <f t="shared" si="9"/>
        <v>-0.13179716966901756</v>
      </c>
      <c r="N65" s="34">
        <f t="shared" si="10"/>
        <v>-0.21555710765045122</v>
      </c>
      <c r="P65" s="35">
        <f t="shared" si="20"/>
        <v>-2.6956729393693406E-2</v>
      </c>
      <c r="Q65" s="35">
        <f t="shared" si="12"/>
        <v>-2.6956729393693406E-2</v>
      </c>
      <c r="S65" s="29">
        <f t="shared" si="13"/>
        <v>390.50333151062438</v>
      </c>
      <c r="T65" s="52">
        <f t="shared" si="14"/>
        <v>421.61070333137724</v>
      </c>
      <c r="U65" s="35">
        <f t="shared" si="1"/>
        <v>-7.3782215619661584E-2</v>
      </c>
      <c r="W65" s="82">
        <v>-0.12509999999999999</v>
      </c>
      <c r="X65" s="34">
        <f t="shared" si="15"/>
        <v>-2.6956729393693406E-2</v>
      </c>
      <c r="Y65" s="34">
        <f t="shared" si="16"/>
        <v>9.8143270606306579E-2</v>
      </c>
      <c r="AA65" s="35">
        <f t="shared" si="2"/>
        <v>-0.12509999999999999</v>
      </c>
      <c r="AB65" s="34">
        <f t="shared" si="3"/>
        <v>-2.6956729393693406E-2</v>
      </c>
      <c r="AC65" s="35">
        <f t="shared" si="17"/>
        <v>-0.1098712173767051</v>
      </c>
      <c r="AD65" s="34">
        <f t="shared" si="18"/>
        <v>8.2914487983011695E-2</v>
      </c>
    </row>
    <row r="66" spans="1:30" x14ac:dyDescent="0.2">
      <c r="A66" s="26">
        <v>43951</v>
      </c>
      <c r="B66" s="27">
        <v>179.21000671386719</v>
      </c>
      <c r="C66" s="33">
        <f t="shared" si="4"/>
        <v>0.13632616248002183</v>
      </c>
      <c r="D66" s="27">
        <v>292.27999877929688</v>
      </c>
      <c r="E66" s="33">
        <f t="shared" si="5"/>
        <v>0.1088011836559617</v>
      </c>
      <c r="F66" s="27">
        <v>1348.6600341796875</v>
      </c>
      <c r="G66" s="33">
        <f t="shared" si="6"/>
        <v>0.15982831779998197</v>
      </c>
      <c r="H66" s="27">
        <v>781.8800048828125</v>
      </c>
      <c r="I66" s="33">
        <f t="shared" si="7"/>
        <v>0.49213741389849708</v>
      </c>
      <c r="K66" s="34">
        <f t="shared" si="8"/>
        <v>0.13632616248002183</v>
      </c>
      <c r="L66" s="34">
        <f t="shared" si="19"/>
        <v>0.1088011836559617</v>
      </c>
      <c r="M66" s="34">
        <f t="shared" si="9"/>
        <v>0.15982831779998197</v>
      </c>
      <c r="N66" s="34">
        <f t="shared" si="10"/>
        <v>0.49213741389849708</v>
      </c>
      <c r="P66" s="35">
        <f t="shared" si="20"/>
        <v>0.13710781398306496</v>
      </c>
      <c r="Q66" s="35" t="str">
        <f t="shared" si="12"/>
        <v/>
      </c>
      <c r="S66" s="29">
        <f t="shared" si="13"/>
        <v>444.04438964715024</v>
      </c>
      <c r="T66" s="52">
        <f t="shared" si="14"/>
        <v>444.04438964715024</v>
      </c>
      <c r="U66" s="35">
        <f t="shared" si="1"/>
        <v>0</v>
      </c>
      <c r="W66" s="82">
        <v>0.1268</v>
      </c>
      <c r="X66" s="34">
        <f t="shared" si="15"/>
        <v>0.13710781398306496</v>
      </c>
      <c r="Y66" s="34">
        <f t="shared" si="16"/>
        <v>1.0307813983064962E-2</v>
      </c>
      <c r="AA66" s="35">
        <f t="shared" si="2"/>
        <v>0.1268</v>
      </c>
      <c r="AB66" s="34">
        <f t="shared" si="3"/>
        <v>0.13710781398306496</v>
      </c>
      <c r="AC66" s="35">
        <f t="shared" si="17"/>
        <v>0.13544706610577045</v>
      </c>
      <c r="AD66" s="34">
        <f t="shared" si="18"/>
        <v>1.660747877294505E-3</v>
      </c>
    </row>
    <row r="67" spans="1:30" x14ac:dyDescent="0.2">
      <c r="A67" s="26">
        <v>43980</v>
      </c>
      <c r="B67" s="27">
        <v>183.25</v>
      </c>
      <c r="C67" s="33">
        <f t="shared" si="4"/>
        <v>2.2543346547512888E-2</v>
      </c>
      <c r="D67" s="27">
        <v>355.01998901367188</v>
      </c>
      <c r="E67" s="33">
        <f t="shared" si="5"/>
        <v>0.21465714553307658</v>
      </c>
      <c r="F67" s="27">
        <v>1428.9200439453125</v>
      </c>
      <c r="G67" s="33">
        <f t="shared" si="6"/>
        <v>5.9510927684931714E-2</v>
      </c>
      <c r="H67" s="27">
        <v>835</v>
      </c>
      <c r="I67" s="33">
        <f t="shared" si="7"/>
        <v>6.7938807471037865E-2</v>
      </c>
      <c r="K67" s="34">
        <f t="shared" si="8"/>
        <v>2.2543346547512888E-2</v>
      </c>
      <c r="L67" s="34">
        <f t="shared" si="19"/>
        <v>0.21465714553307658</v>
      </c>
      <c r="M67" s="34">
        <f t="shared" si="9"/>
        <v>5.9510927684931714E-2</v>
      </c>
      <c r="N67" s="34">
        <f t="shared" si="10"/>
        <v>6.7938807471037865E-2</v>
      </c>
      <c r="P67" s="35">
        <f t="shared" si="20"/>
        <v>2.2643071978119014E-2</v>
      </c>
      <c r="Q67" s="35" t="str">
        <f t="shared" si="12"/>
        <v/>
      </c>
      <c r="S67" s="29">
        <f t="shared" si="13"/>
        <v>454.09891872341058</v>
      </c>
      <c r="T67" s="52">
        <f t="shared" si="14"/>
        <v>454.09891872341058</v>
      </c>
      <c r="U67" s="35">
        <f t="shared" si="1"/>
        <v>0</v>
      </c>
      <c r="W67" s="82">
        <v>4.53E-2</v>
      </c>
      <c r="X67" s="34">
        <f t="shared" si="15"/>
        <v>2.2643071978119014E-2</v>
      </c>
      <c r="Y67" s="34">
        <f t="shared" si="16"/>
        <v>-2.2656928021880986E-2</v>
      </c>
      <c r="AA67" s="35">
        <f t="shared" si="2"/>
        <v>4.53E-2</v>
      </c>
      <c r="AB67" s="34">
        <f t="shared" si="3"/>
        <v>2.2643071978119014E-2</v>
      </c>
      <c r="AC67" s="35">
        <f t="shared" si="17"/>
        <v>5.6076521827002047E-2</v>
      </c>
      <c r="AD67" s="34">
        <f t="shared" si="18"/>
        <v>-3.3433449848883037E-2</v>
      </c>
    </row>
    <row r="68" spans="1:30" x14ac:dyDescent="0.2">
      <c r="A68" s="26">
        <v>44012</v>
      </c>
      <c r="B68" s="27">
        <v>203.50999450683594</v>
      </c>
      <c r="C68" s="33">
        <f t="shared" si="4"/>
        <v>0.11055931518055084</v>
      </c>
      <c r="D68" s="27">
        <v>379.91000366210938</v>
      </c>
      <c r="E68" s="33">
        <f t="shared" si="5"/>
        <v>7.0108769699384288E-2</v>
      </c>
      <c r="F68" s="27">
        <v>1413.6099853515625</v>
      </c>
      <c r="G68" s="33">
        <f t="shared" si="6"/>
        <v>-1.0714426365997509E-2</v>
      </c>
      <c r="H68" s="27">
        <v>1079.81005859375</v>
      </c>
      <c r="I68" s="33">
        <f t="shared" si="7"/>
        <v>0.29318569891467061</v>
      </c>
      <c r="K68" s="34">
        <f t="shared" si="8"/>
        <v>0.11055931518055084</v>
      </c>
      <c r="L68" s="34">
        <f t="shared" si="19"/>
        <v>7.0108769699384288E-2</v>
      </c>
      <c r="M68" s="34">
        <f t="shared" si="9"/>
        <v>-1.0714426365997509E-2</v>
      </c>
      <c r="N68" s="34">
        <f t="shared" si="10"/>
        <v>0.29318569891467061</v>
      </c>
      <c r="P68" s="35">
        <f t="shared" ref="P68:P99" si="21">SUMPRODUCT(K68:N68,$K$124:$N$124)</f>
        <v>0.11096051156422909</v>
      </c>
      <c r="Q68" s="35" t="str">
        <f t="shared" si="12"/>
        <v/>
      </c>
      <c r="S68" s="29">
        <f t="shared" si="13"/>
        <v>504.48596704572356</v>
      </c>
      <c r="T68" s="52">
        <f t="shared" si="14"/>
        <v>504.48596704572356</v>
      </c>
      <c r="U68" s="35">
        <f t="shared" ref="U68:U122" si="22">(S68/T68)-1</f>
        <v>0</v>
      </c>
      <c r="W68" s="82">
        <v>1.84E-2</v>
      </c>
      <c r="X68" s="34">
        <f t="shared" si="15"/>
        <v>0.11096051156422909</v>
      </c>
      <c r="Y68" s="34">
        <f t="shared" si="16"/>
        <v>9.2560511564229092E-2</v>
      </c>
      <c r="AA68" s="35">
        <f t="shared" ref="AA68:AA122" si="23">W68</f>
        <v>1.84E-2</v>
      </c>
      <c r="AB68" s="34">
        <f t="shared" ref="AB68:AB122" si="24">X68</f>
        <v>0.11096051156422909</v>
      </c>
      <c r="AC68" s="35">
        <f t="shared" si="17"/>
        <v>2.9879372856463769E-2</v>
      </c>
      <c r="AD68" s="34">
        <f t="shared" si="18"/>
        <v>8.1081138707765316E-2</v>
      </c>
    </row>
    <row r="69" spans="1:30" x14ac:dyDescent="0.2">
      <c r="A69" s="26">
        <v>44043</v>
      </c>
      <c r="B69" s="27">
        <v>205.00999450683594</v>
      </c>
      <c r="C69" s="33">
        <f t="shared" ref="C69:C122" si="25">(B69/B68)-1</f>
        <v>7.3706453760904456E-3</v>
      </c>
      <c r="D69" s="27">
        <v>424.58999633789062</v>
      </c>
      <c r="E69" s="33">
        <f t="shared" ref="E69:E122" si="26">(D69/D68)-1</f>
        <v>0.11760678119842161</v>
      </c>
      <c r="F69" s="27">
        <v>1482.9599609375</v>
      </c>
      <c r="G69" s="33">
        <f t="shared" ref="G69:G122" si="27">(F69/F68)-1</f>
        <v>4.9058775973975788E-2</v>
      </c>
      <c r="H69" s="27">
        <v>1430.760009765625</v>
      </c>
      <c r="I69" s="33">
        <f t="shared" ref="I69:I122" si="28">(H69/H68)-1</f>
        <v>0.32501081868872528</v>
      </c>
      <c r="K69" s="34">
        <f t="shared" ref="K69:K122" si="29">C69</f>
        <v>7.3706453760904456E-3</v>
      </c>
      <c r="L69" s="34">
        <f t="shared" ref="L69:L122" si="30">E69</f>
        <v>0.11760678119842161</v>
      </c>
      <c r="M69" s="34">
        <f t="shared" ref="M69:M122" si="31">G69</f>
        <v>4.9058775973975788E-2</v>
      </c>
      <c r="N69" s="34">
        <f t="shared" ref="N69:N122" si="32">I69</f>
        <v>0.32501081868872528</v>
      </c>
      <c r="P69" s="35">
        <f t="shared" si="21"/>
        <v>8.0684420812448098E-3</v>
      </c>
      <c r="Q69" s="35" t="str">
        <f t="shared" ref="Q69:Q122" si="33">IF(P69&lt;0,P69,"")</f>
        <v/>
      </c>
      <c r="S69" s="29">
        <f t="shared" ref="S69:S122" si="34">S68*(1+P69)</f>
        <v>508.5563828516328</v>
      </c>
      <c r="T69" s="52">
        <f t="shared" ref="T69:T122" si="35">IF(S69&gt;T68,S69,T68)</f>
        <v>508.5563828516328</v>
      </c>
      <c r="U69" s="35">
        <f t="shared" si="22"/>
        <v>0</v>
      </c>
      <c r="W69" s="82">
        <v>5.5100000000000003E-2</v>
      </c>
      <c r="X69" s="34">
        <f t="shared" ref="X69:X122" si="36">P69</f>
        <v>8.0684420812448098E-3</v>
      </c>
      <c r="Y69" s="34">
        <f t="shared" ref="Y69:Y122" si="37">X69-W69</f>
        <v>-4.7031557918755192E-2</v>
      </c>
      <c r="AA69" s="35">
        <f t="shared" si="23"/>
        <v>5.5100000000000003E-2</v>
      </c>
      <c r="AB69" s="34">
        <f t="shared" si="24"/>
        <v>8.0684420812448098E-3</v>
      </c>
      <c r="AC69" s="35">
        <f t="shared" ref="AC69:AC122" si="38">($AE$3*AA69)+$AF$3</f>
        <v>6.5620464574633108E-2</v>
      </c>
      <c r="AD69" s="34">
        <f t="shared" ref="AD69:AD122" si="39">AB69-AC69</f>
        <v>-5.7552022493388297E-2</v>
      </c>
    </row>
    <row r="70" spans="1:30" x14ac:dyDescent="0.2">
      <c r="A70" s="26">
        <v>44074</v>
      </c>
      <c r="B70" s="27">
        <v>225.52999877929688</v>
      </c>
      <c r="C70" s="33">
        <f t="shared" si="25"/>
        <v>0.10009270192813302</v>
      </c>
      <c r="D70" s="27">
        <v>534.97998046875</v>
      </c>
      <c r="E70" s="33">
        <f t="shared" si="26"/>
        <v>0.25999195714213319</v>
      </c>
      <c r="F70" s="27">
        <v>1634.1800537109375</v>
      </c>
      <c r="G70" s="33">
        <f t="shared" si="27"/>
        <v>0.10197179745691787</v>
      </c>
      <c r="H70" s="27">
        <v>498.32000732421875</v>
      </c>
      <c r="I70" s="33">
        <f>((5*H70)/H69)-1</f>
        <v>0.74145210909916792</v>
      </c>
      <c r="K70" s="34">
        <f t="shared" si="29"/>
        <v>0.10009270192813302</v>
      </c>
      <c r="L70" s="34">
        <f t="shared" si="30"/>
        <v>0.25999195714213319</v>
      </c>
      <c r="M70" s="34">
        <f t="shared" si="31"/>
        <v>0.10197179745691787</v>
      </c>
      <c r="N70" s="34">
        <f t="shared" si="32"/>
        <v>0.74145210909916792</v>
      </c>
      <c r="P70" s="35">
        <f t="shared" si="21"/>
        <v>0.10150164990998431</v>
      </c>
      <c r="Q70" s="35" t="str">
        <f t="shared" si="33"/>
        <v/>
      </c>
      <c r="S70" s="29">
        <f t="shared" si="34"/>
        <v>560.17569478332723</v>
      </c>
      <c r="T70" s="52">
        <f t="shared" si="35"/>
        <v>560.17569478332723</v>
      </c>
      <c r="U70" s="35">
        <f t="shared" si="22"/>
        <v>0</v>
      </c>
      <c r="W70" s="82">
        <v>7.0099999999999996E-2</v>
      </c>
      <c r="X70" s="34">
        <f t="shared" si="36"/>
        <v>0.10150164990998431</v>
      </c>
      <c r="Y70" s="34">
        <f t="shared" si="37"/>
        <v>3.1401649909984314E-2</v>
      </c>
      <c r="AA70" s="35">
        <f t="shared" si="23"/>
        <v>7.0099999999999996E-2</v>
      </c>
      <c r="AB70" s="34">
        <f t="shared" si="24"/>
        <v>0.10150164990998431</v>
      </c>
      <c r="AC70" s="35">
        <f t="shared" si="38"/>
        <v>8.0228540208762245E-2</v>
      </c>
      <c r="AD70" s="34">
        <f t="shared" si="39"/>
        <v>2.1273109701222065E-2</v>
      </c>
    </row>
    <row r="71" spans="1:30" x14ac:dyDescent="0.2">
      <c r="A71" s="26">
        <v>44104</v>
      </c>
      <c r="B71" s="27">
        <v>210.33000183105469</v>
      </c>
      <c r="C71" s="33">
        <f t="shared" si="25"/>
        <v>-6.7396785485361876E-2</v>
      </c>
      <c r="D71" s="27">
        <v>541.219970703125</v>
      </c>
      <c r="E71" s="33">
        <f t="shared" si="26"/>
        <v>1.1663969610428149E-2</v>
      </c>
      <c r="F71" s="27">
        <v>1469.5999755859375</v>
      </c>
      <c r="G71" s="33">
        <f t="shared" si="27"/>
        <v>-0.10071110447791076</v>
      </c>
      <c r="H71" s="27">
        <v>429.010009765625</v>
      </c>
      <c r="I71" s="33">
        <f t="shared" si="28"/>
        <v>-0.13908732649680478</v>
      </c>
      <c r="K71" s="34">
        <f t="shared" si="29"/>
        <v>-6.7396785485361876E-2</v>
      </c>
      <c r="L71" s="34">
        <f t="shared" si="30"/>
        <v>1.1663969610428149E-2</v>
      </c>
      <c r="M71" s="34">
        <f t="shared" si="31"/>
        <v>-0.10071110447791076</v>
      </c>
      <c r="N71" s="34">
        <f t="shared" si="32"/>
        <v>-0.13908732649680478</v>
      </c>
      <c r="P71" s="35">
        <f t="shared" si="21"/>
        <v>-6.7554276342978628E-2</v>
      </c>
      <c r="Q71" s="35">
        <f t="shared" si="33"/>
        <v>-6.7554276342978628E-2</v>
      </c>
      <c r="S71" s="29">
        <f t="shared" si="34"/>
        <v>522.33343109731425</v>
      </c>
      <c r="T71" s="52">
        <f t="shared" si="35"/>
        <v>560.17569478332723</v>
      </c>
      <c r="U71" s="35">
        <f t="shared" si="22"/>
        <v>-6.7554276342978725E-2</v>
      </c>
      <c r="W71" s="82">
        <v>-3.9199999999999999E-2</v>
      </c>
      <c r="X71" s="34">
        <f t="shared" si="36"/>
        <v>-6.7554276342978628E-2</v>
      </c>
      <c r="Y71" s="34">
        <f t="shared" si="37"/>
        <v>-2.8354276342978629E-2</v>
      </c>
      <c r="AA71" s="35">
        <f t="shared" si="23"/>
        <v>-3.9199999999999999E-2</v>
      </c>
      <c r="AB71" s="34">
        <f t="shared" si="24"/>
        <v>-6.7554276342978628E-2</v>
      </c>
      <c r="AC71" s="35">
        <f t="shared" si="38"/>
        <v>-2.6215637578592181E-2</v>
      </c>
      <c r="AD71" s="34">
        <f t="shared" si="39"/>
        <v>-4.1338638764386447E-2</v>
      </c>
    </row>
    <row r="72" spans="1:30" x14ac:dyDescent="0.2">
      <c r="A72" s="26">
        <v>44134</v>
      </c>
      <c r="B72" s="27">
        <v>202.47000122070312</v>
      </c>
      <c r="C72" s="33">
        <f t="shared" si="25"/>
        <v>-3.7369849959232315E-2</v>
      </c>
      <c r="D72" s="27">
        <v>501.3599853515625</v>
      </c>
      <c r="E72" s="33">
        <f t="shared" si="26"/>
        <v>-7.3648400852205143E-2</v>
      </c>
      <c r="F72" s="27">
        <v>1621.010009765625</v>
      </c>
      <c r="G72" s="33">
        <f t="shared" si="27"/>
        <v>0.10302805980880581</v>
      </c>
      <c r="H72" s="27">
        <v>388.04000854492188</v>
      </c>
      <c r="I72" s="33">
        <f t="shared" si="28"/>
        <v>-9.5498940090198992E-2</v>
      </c>
      <c r="K72" s="34">
        <f t="shared" si="29"/>
        <v>-3.7369849959232315E-2</v>
      </c>
      <c r="L72" s="34">
        <f t="shared" si="30"/>
        <v>-7.3648400852205143E-2</v>
      </c>
      <c r="M72" s="34">
        <f t="shared" si="31"/>
        <v>0.10302805980880581</v>
      </c>
      <c r="N72" s="34">
        <f t="shared" si="32"/>
        <v>-9.5498940090198992E-2</v>
      </c>
      <c r="P72" s="35">
        <f t="shared" si="21"/>
        <v>-3.749754881779923E-2</v>
      </c>
      <c r="Q72" s="35">
        <f t="shared" si="33"/>
        <v>-3.749754881779923E-2</v>
      </c>
      <c r="S72" s="29">
        <f t="shared" si="34"/>
        <v>502.74720776557416</v>
      </c>
      <c r="T72" s="52">
        <f t="shared" si="35"/>
        <v>560.17569478332723</v>
      </c>
      <c r="U72" s="35">
        <f t="shared" si="22"/>
        <v>-0.10251870538575591</v>
      </c>
      <c r="W72" s="82">
        <v>-2.7699999999999999E-2</v>
      </c>
      <c r="X72" s="34">
        <f t="shared" si="36"/>
        <v>-3.749754881779923E-2</v>
      </c>
      <c r="Y72" s="34">
        <f t="shared" si="37"/>
        <v>-9.7975488177992308E-3</v>
      </c>
      <c r="AA72" s="35">
        <f t="shared" si="23"/>
        <v>-2.7699999999999999E-2</v>
      </c>
      <c r="AB72" s="34">
        <f t="shared" si="24"/>
        <v>-3.749754881779923E-2</v>
      </c>
      <c r="AC72" s="35">
        <f t="shared" si="38"/>
        <v>-1.5016112925759826E-2</v>
      </c>
      <c r="AD72" s="34">
        <f t="shared" si="39"/>
        <v>-2.2481435892039402E-2</v>
      </c>
    </row>
    <row r="73" spans="1:30" x14ac:dyDescent="0.2">
      <c r="A73" s="26">
        <v>44165</v>
      </c>
      <c r="B73" s="27">
        <v>214.07000732421875</v>
      </c>
      <c r="C73" s="33">
        <f t="shared" si="25"/>
        <v>5.7292468185798029E-2</v>
      </c>
      <c r="D73" s="27">
        <v>536.05999755859375</v>
      </c>
      <c r="E73" s="33">
        <f t="shared" si="26"/>
        <v>6.9211770426191865E-2</v>
      </c>
      <c r="F73" s="27">
        <v>1760.739990234375</v>
      </c>
      <c r="G73" s="33">
        <f t="shared" si="27"/>
        <v>8.6199332284785157E-2</v>
      </c>
      <c r="H73" s="27">
        <v>567.5999755859375</v>
      </c>
      <c r="I73" s="33">
        <f t="shared" si="28"/>
        <v>0.46273570530609009</v>
      </c>
      <c r="K73" s="34">
        <f t="shared" si="29"/>
        <v>5.7292468185798029E-2</v>
      </c>
      <c r="L73" s="34">
        <f t="shared" si="30"/>
        <v>6.9211770426191865E-2</v>
      </c>
      <c r="M73" s="34">
        <f t="shared" si="31"/>
        <v>8.6199332284785157E-2</v>
      </c>
      <c r="N73" s="34">
        <f t="shared" si="32"/>
        <v>0.46273570530609009</v>
      </c>
      <c r="P73" s="35">
        <f t="shared" si="21"/>
        <v>5.8183151980732296E-2</v>
      </c>
      <c r="Q73" s="35" t="str">
        <f t="shared" si="33"/>
        <v/>
      </c>
      <c r="S73" s="29">
        <f t="shared" si="34"/>
        <v>531.99862496288733</v>
      </c>
      <c r="T73" s="52">
        <f t="shared" si="35"/>
        <v>560.17569478332723</v>
      </c>
      <c r="U73" s="35">
        <f t="shared" si="22"/>
        <v>-5.0300414821351058E-2</v>
      </c>
      <c r="W73" s="82">
        <v>0.1075</v>
      </c>
      <c r="X73" s="34">
        <f t="shared" si="36"/>
        <v>5.8183151980732296E-2</v>
      </c>
      <c r="Y73" s="34">
        <f t="shared" si="37"/>
        <v>-4.9316848019267702E-2</v>
      </c>
      <c r="AA73" s="35">
        <f t="shared" si="23"/>
        <v>0.1075</v>
      </c>
      <c r="AB73" s="34">
        <f t="shared" si="24"/>
        <v>5.8183151980732296E-2</v>
      </c>
      <c r="AC73" s="35">
        <f t="shared" si="38"/>
        <v>0.11665134212319093</v>
      </c>
      <c r="AD73" s="34">
        <f t="shared" si="39"/>
        <v>-5.8468190142458638E-2</v>
      </c>
    </row>
    <row r="74" spans="1:30" x14ac:dyDescent="0.2">
      <c r="A74" s="26">
        <v>44196</v>
      </c>
      <c r="B74" s="27">
        <v>222.41999816894531</v>
      </c>
      <c r="C74" s="33">
        <f t="shared" si="25"/>
        <v>3.9005888536641775E-2</v>
      </c>
      <c r="D74" s="27">
        <v>522.20001220703125</v>
      </c>
      <c r="E74" s="33">
        <f t="shared" si="26"/>
        <v>-2.5855287495216484E-2</v>
      </c>
      <c r="F74" s="27">
        <v>1751.8800048828125</v>
      </c>
      <c r="G74" s="33">
        <f t="shared" si="27"/>
        <v>-5.0319669006797518E-3</v>
      </c>
      <c r="H74" s="27">
        <v>705.66998291015625</v>
      </c>
      <c r="I74" s="33">
        <f t="shared" si="28"/>
        <v>0.24325231371211409</v>
      </c>
      <c r="K74" s="34">
        <f t="shared" si="29"/>
        <v>3.9005888536641775E-2</v>
      </c>
      <c r="L74" s="34">
        <f t="shared" si="30"/>
        <v>-2.5855287495216484E-2</v>
      </c>
      <c r="M74" s="34">
        <f t="shared" si="31"/>
        <v>-5.0319669006797518E-3</v>
      </c>
      <c r="N74" s="34">
        <f t="shared" si="32"/>
        <v>0.24325231371211409</v>
      </c>
      <c r="P74" s="35">
        <f t="shared" si="21"/>
        <v>3.9454580152191096E-2</v>
      </c>
      <c r="Q74" s="35" t="str">
        <f t="shared" si="33"/>
        <v/>
      </c>
      <c r="S74" s="29">
        <f t="shared" si="34"/>
        <v>552.98840735234103</v>
      </c>
      <c r="T74" s="52">
        <f t="shared" si="35"/>
        <v>560.17569478332723</v>
      </c>
      <c r="U74" s="35">
        <f t="shared" si="22"/>
        <v>-1.2830416417417445E-2</v>
      </c>
      <c r="W74" s="82">
        <v>3.7100000000000001E-2</v>
      </c>
      <c r="X74" s="34">
        <f t="shared" si="36"/>
        <v>3.9454580152191096E-2</v>
      </c>
      <c r="Y74" s="34">
        <f t="shared" si="37"/>
        <v>2.354580152191095E-3</v>
      </c>
      <c r="AA74" s="35">
        <f t="shared" si="23"/>
        <v>3.7100000000000001E-2</v>
      </c>
      <c r="AB74" s="34">
        <f t="shared" si="24"/>
        <v>3.9454580152191096E-2</v>
      </c>
      <c r="AC74" s="35">
        <f t="shared" si="38"/>
        <v>4.8090773813678114E-2</v>
      </c>
      <c r="AD74" s="34">
        <f t="shared" si="39"/>
        <v>-8.6361936614870183E-3</v>
      </c>
    </row>
    <row r="75" spans="1:30" x14ac:dyDescent="0.2">
      <c r="A75" s="26">
        <v>44225</v>
      </c>
      <c r="B75" s="27">
        <v>231.96000671386719</v>
      </c>
      <c r="C75" s="33">
        <f t="shared" si="25"/>
        <v>4.289186504567577E-2</v>
      </c>
      <c r="D75" s="27">
        <v>519.59002685546875</v>
      </c>
      <c r="E75" s="33">
        <f t="shared" si="26"/>
        <v>-4.9980568566660999E-3</v>
      </c>
      <c r="F75" s="27">
        <v>1835.739990234375</v>
      </c>
      <c r="G75" s="33">
        <f t="shared" si="27"/>
        <v>4.7868566978234384E-2</v>
      </c>
      <c r="H75" s="27">
        <v>793.530029296875</v>
      </c>
      <c r="I75" s="33">
        <f t="shared" si="28"/>
        <v>0.12450585757436827</v>
      </c>
      <c r="K75" s="34">
        <f t="shared" si="29"/>
        <v>4.289186504567577E-2</v>
      </c>
      <c r="L75" s="34">
        <f t="shared" si="30"/>
        <v>-4.9980568566660999E-3</v>
      </c>
      <c r="M75" s="34">
        <f t="shared" si="31"/>
        <v>4.7868566978234384E-2</v>
      </c>
      <c r="N75" s="34">
        <f t="shared" si="32"/>
        <v>0.12450585757436827</v>
      </c>
      <c r="P75" s="35">
        <f t="shared" si="21"/>
        <v>4.3071155890681626E-2</v>
      </c>
      <c r="Q75" s="35" t="str">
        <f t="shared" si="33"/>
        <v/>
      </c>
      <c r="S75" s="29">
        <f t="shared" si="34"/>
        <v>576.8062572511534</v>
      </c>
      <c r="T75" s="52">
        <f t="shared" si="35"/>
        <v>576.8062572511534</v>
      </c>
      <c r="U75" s="35">
        <f t="shared" si="22"/>
        <v>0</v>
      </c>
      <c r="W75" s="82">
        <v>-1.11E-2</v>
      </c>
      <c r="X75" s="34">
        <f t="shared" si="36"/>
        <v>4.3071155890681626E-2</v>
      </c>
      <c r="Y75" s="34">
        <f t="shared" si="37"/>
        <v>5.4171155890681624E-2</v>
      </c>
      <c r="AA75" s="35">
        <f t="shared" si="23"/>
        <v>-1.11E-2</v>
      </c>
      <c r="AB75" s="34">
        <f t="shared" si="24"/>
        <v>4.3071155890681626E-2</v>
      </c>
      <c r="AC75" s="35">
        <f t="shared" si="38"/>
        <v>1.150157442676436E-3</v>
      </c>
      <c r="AD75" s="34">
        <f t="shared" si="39"/>
        <v>4.1920998448005189E-2</v>
      </c>
    </row>
    <row r="76" spans="1:30" x14ac:dyDescent="0.2">
      <c r="A76" s="26">
        <v>44253</v>
      </c>
      <c r="B76" s="27">
        <v>232.3800048828125</v>
      </c>
      <c r="C76" s="33">
        <f t="shared" si="25"/>
        <v>1.8106490635836359E-3</v>
      </c>
      <c r="D76" s="27">
        <v>548.58001708984375</v>
      </c>
      <c r="E76" s="33">
        <f t="shared" si="26"/>
        <v>5.5793969737681248E-2</v>
      </c>
      <c r="F76" s="27">
        <v>2036.8599853515625</v>
      </c>
      <c r="G76" s="33">
        <f t="shared" si="27"/>
        <v>0.10955799633231811</v>
      </c>
      <c r="H76" s="27">
        <v>675.5</v>
      </c>
      <c r="I76" s="33">
        <f t="shared" si="28"/>
        <v>-0.14874046972293931</v>
      </c>
      <c r="K76" s="34">
        <f t="shared" si="29"/>
        <v>1.8106490635836359E-3</v>
      </c>
      <c r="L76" s="34">
        <f t="shared" si="30"/>
        <v>5.5793969737681248E-2</v>
      </c>
      <c r="M76" s="34">
        <f t="shared" si="31"/>
        <v>0.10955799633231811</v>
      </c>
      <c r="N76" s="34">
        <f t="shared" si="32"/>
        <v>-0.14874046972293931</v>
      </c>
      <c r="P76" s="35">
        <f t="shared" si="21"/>
        <v>1.4799161038608791E-3</v>
      </c>
      <c r="Q76" s="35" t="str">
        <f t="shared" si="33"/>
        <v/>
      </c>
      <c r="S76" s="29">
        <f t="shared" si="34"/>
        <v>577.6598821200671</v>
      </c>
      <c r="T76" s="52">
        <f t="shared" si="35"/>
        <v>577.6598821200671</v>
      </c>
      <c r="U76" s="35">
        <f t="shared" si="22"/>
        <v>0</v>
      </c>
      <c r="W76" s="82">
        <v>2.6100000000000002E-2</v>
      </c>
      <c r="X76" s="34">
        <f t="shared" si="36"/>
        <v>1.4799161038608791E-3</v>
      </c>
      <c r="Y76" s="34">
        <f t="shared" si="37"/>
        <v>-2.4620083896139122E-2</v>
      </c>
      <c r="AA76" s="35">
        <f t="shared" si="23"/>
        <v>2.6100000000000002E-2</v>
      </c>
      <c r="AB76" s="34">
        <f t="shared" si="24"/>
        <v>1.4799161038608791E-3</v>
      </c>
      <c r="AC76" s="35">
        <f t="shared" si="38"/>
        <v>3.7378185015316735E-2</v>
      </c>
      <c r="AD76" s="34">
        <f t="shared" si="39"/>
        <v>-3.5898268911455859E-2</v>
      </c>
    </row>
    <row r="77" spans="1:30" x14ac:dyDescent="0.2">
      <c r="A77" s="26">
        <v>44286</v>
      </c>
      <c r="B77" s="27">
        <v>235.77000427246094</v>
      </c>
      <c r="C77" s="33">
        <f t="shared" si="25"/>
        <v>1.4588171608645784E-2</v>
      </c>
      <c r="D77" s="27">
        <v>533.92999267578125</v>
      </c>
      <c r="E77" s="33">
        <f t="shared" si="26"/>
        <v>-2.6705355568325762E-2</v>
      </c>
      <c r="F77" s="27">
        <v>2068.6298828125</v>
      </c>
      <c r="G77" s="33">
        <f t="shared" si="27"/>
        <v>1.5597487156415513E-2</v>
      </c>
      <c r="H77" s="27">
        <v>667.92999267578125</v>
      </c>
      <c r="I77" s="33">
        <f t="shared" si="28"/>
        <v>-1.1206524536223172E-2</v>
      </c>
      <c r="K77" s="34">
        <f t="shared" si="29"/>
        <v>1.4588171608645784E-2</v>
      </c>
      <c r="L77" s="34">
        <f t="shared" si="30"/>
        <v>-2.6705355568325762E-2</v>
      </c>
      <c r="M77" s="34">
        <f t="shared" si="31"/>
        <v>1.5597487156415513E-2</v>
      </c>
      <c r="N77" s="34">
        <f t="shared" si="32"/>
        <v>-1.1206524536223172E-2</v>
      </c>
      <c r="P77" s="35">
        <f t="shared" si="21"/>
        <v>1.4531505432599385E-2</v>
      </c>
      <c r="Q77" s="35" t="str">
        <f t="shared" si="33"/>
        <v/>
      </c>
      <c r="S77" s="29">
        <f t="shared" si="34"/>
        <v>586.05414983528954</v>
      </c>
      <c r="T77" s="52">
        <f t="shared" si="35"/>
        <v>586.05414983528954</v>
      </c>
      <c r="U77" s="35">
        <f t="shared" si="22"/>
        <v>0</v>
      </c>
      <c r="W77" s="82">
        <v>4.24E-2</v>
      </c>
      <c r="X77" s="34">
        <f t="shared" si="36"/>
        <v>1.4531505432599385E-2</v>
      </c>
      <c r="Y77" s="34">
        <f t="shared" si="37"/>
        <v>-2.7868494567400613E-2</v>
      </c>
      <c r="AA77" s="35">
        <f t="shared" si="23"/>
        <v>4.24E-2</v>
      </c>
      <c r="AB77" s="34">
        <f t="shared" si="24"/>
        <v>1.4531505432599385E-2</v>
      </c>
      <c r="AC77" s="35">
        <f t="shared" si="38"/>
        <v>5.3252293871070409E-2</v>
      </c>
      <c r="AD77" s="34">
        <f t="shared" si="39"/>
        <v>-3.8720788438471022E-2</v>
      </c>
    </row>
    <row r="78" spans="1:30" x14ac:dyDescent="0.2">
      <c r="A78" s="26">
        <v>44316</v>
      </c>
      <c r="B78" s="27">
        <v>252.17999267578125</v>
      </c>
      <c r="C78" s="33">
        <f t="shared" si="25"/>
        <v>6.9601680052380877E-2</v>
      </c>
      <c r="D78" s="27">
        <v>600.3800048828125</v>
      </c>
      <c r="E78" s="33">
        <f t="shared" si="26"/>
        <v>0.12445454107947396</v>
      </c>
      <c r="F78" s="27">
        <v>2410.1201171875</v>
      </c>
      <c r="G78" s="33">
        <f t="shared" si="27"/>
        <v>0.1650803931685989</v>
      </c>
      <c r="H78" s="27">
        <v>709.44000244140625</v>
      </c>
      <c r="I78" s="33">
        <f t="shared" si="28"/>
        <v>6.2147246299470105E-2</v>
      </c>
      <c r="K78" s="34">
        <f t="shared" si="29"/>
        <v>6.9601680052380877E-2</v>
      </c>
      <c r="L78" s="34">
        <f t="shared" si="30"/>
        <v>0.12445454107947396</v>
      </c>
      <c r="M78" s="34">
        <f t="shared" si="31"/>
        <v>0.1650803931685989</v>
      </c>
      <c r="N78" s="34">
        <f t="shared" si="32"/>
        <v>6.2147246299470105E-2</v>
      </c>
      <c r="P78" s="35">
        <f t="shared" si="21"/>
        <v>6.9585304040312559E-2</v>
      </c>
      <c r="Q78" s="35" t="str">
        <f t="shared" si="33"/>
        <v/>
      </c>
      <c r="S78" s="29">
        <f t="shared" si="34"/>
        <v>626.83490603566497</v>
      </c>
      <c r="T78" s="52">
        <f t="shared" si="35"/>
        <v>626.83490603566497</v>
      </c>
      <c r="U78" s="35">
        <f t="shared" si="22"/>
        <v>0</v>
      </c>
      <c r="W78" s="82">
        <v>5.2400000000000002E-2</v>
      </c>
      <c r="X78" s="34">
        <f t="shared" si="36"/>
        <v>6.9585304040312559E-2</v>
      </c>
      <c r="Y78" s="34">
        <f t="shared" si="37"/>
        <v>1.7185304040312557E-2</v>
      </c>
      <c r="AA78" s="35">
        <f t="shared" si="23"/>
        <v>5.2400000000000002E-2</v>
      </c>
      <c r="AB78" s="34">
        <f t="shared" si="24"/>
        <v>6.9585304040312559E-2</v>
      </c>
      <c r="AC78" s="35">
        <f t="shared" si="38"/>
        <v>6.2991010960489854E-2</v>
      </c>
      <c r="AD78" s="34">
        <f t="shared" si="39"/>
        <v>6.5942930798227051E-3</v>
      </c>
    </row>
    <row r="79" spans="1:30" x14ac:dyDescent="0.2">
      <c r="A79" s="26">
        <v>44344</v>
      </c>
      <c r="B79" s="27">
        <v>249.67999267578125</v>
      </c>
      <c r="C79" s="33">
        <f t="shared" si="25"/>
        <v>-9.9135540986955428E-3</v>
      </c>
      <c r="D79" s="27">
        <v>649.780029296875</v>
      </c>
      <c r="E79" s="33">
        <f t="shared" si="26"/>
        <v>8.2281261887968471E-2</v>
      </c>
      <c r="F79" s="27">
        <v>2411.56005859375</v>
      </c>
      <c r="G79" s="33">
        <f t="shared" si="27"/>
        <v>5.9745628277241281E-4</v>
      </c>
      <c r="H79" s="27">
        <v>625.219970703125</v>
      </c>
      <c r="I79" s="33">
        <f t="shared" si="28"/>
        <v>-0.11871339570429296</v>
      </c>
      <c r="K79" s="34">
        <f t="shared" si="29"/>
        <v>-9.9135540986955428E-3</v>
      </c>
      <c r="L79" s="34">
        <f t="shared" si="30"/>
        <v>8.2281261887968471E-2</v>
      </c>
      <c r="M79" s="34">
        <f t="shared" si="31"/>
        <v>5.9745628277241281E-4</v>
      </c>
      <c r="N79" s="34">
        <f t="shared" si="32"/>
        <v>-0.11871339570429296</v>
      </c>
      <c r="P79" s="35">
        <f t="shared" si="21"/>
        <v>-1.0152567225410409E-2</v>
      </c>
      <c r="Q79" s="35">
        <f t="shared" si="33"/>
        <v>-1.0152567225410409E-2</v>
      </c>
      <c r="S79" s="29">
        <f t="shared" si="34"/>
        <v>620.47092251290405</v>
      </c>
      <c r="T79" s="52">
        <f t="shared" si="35"/>
        <v>626.83490603566497</v>
      </c>
      <c r="U79" s="35">
        <f t="shared" si="22"/>
        <v>-1.0152567225410469E-2</v>
      </c>
      <c r="W79" s="82">
        <v>5.4999999999999997E-3</v>
      </c>
      <c r="X79" s="34">
        <f t="shared" si="36"/>
        <v>-1.0152567225410409E-2</v>
      </c>
      <c r="Y79" s="34">
        <f t="shared" si="37"/>
        <v>-1.5652567225410408E-2</v>
      </c>
      <c r="AA79" s="35">
        <f t="shared" si="23"/>
        <v>5.4999999999999997E-3</v>
      </c>
      <c r="AB79" s="34">
        <f t="shared" si="24"/>
        <v>-1.0152567225410409E-2</v>
      </c>
      <c r="AC79" s="35">
        <f t="shared" si="38"/>
        <v>1.7316427811112697E-2</v>
      </c>
      <c r="AD79" s="34">
        <f t="shared" si="39"/>
        <v>-2.7468995036523107E-2</v>
      </c>
    </row>
    <row r="80" spans="1:30" x14ac:dyDescent="0.2">
      <c r="A80" s="26">
        <v>44377</v>
      </c>
      <c r="B80" s="27">
        <v>270.89999389648438</v>
      </c>
      <c r="C80" s="33">
        <f t="shared" si="25"/>
        <v>8.4988793027794163E-2</v>
      </c>
      <c r="D80" s="27">
        <v>800.0999755859375</v>
      </c>
      <c r="E80" s="33">
        <f t="shared" si="26"/>
        <v>0.23133974500835808</v>
      </c>
      <c r="F80" s="27">
        <v>2506.320068359375</v>
      </c>
      <c r="G80" s="33">
        <f t="shared" si="27"/>
        <v>3.929407000582108E-2</v>
      </c>
      <c r="H80" s="27">
        <v>679.70001220703125</v>
      </c>
      <c r="I80" s="33">
        <f t="shared" si="28"/>
        <v>8.7137398126674981E-2</v>
      </c>
      <c r="K80" s="34">
        <f t="shared" si="29"/>
        <v>8.4988793027794163E-2</v>
      </c>
      <c r="L80" s="34">
        <f t="shared" si="30"/>
        <v>0.23133974500835808</v>
      </c>
      <c r="M80" s="34">
        <f t="shared" si="31"/>
        <v>3.929407000582108E-2</v>
      </c>
      <c r="N80" s="34">
        <f t="shared" si="32"/>
        <v>8.7137398126674981E-2</v>
      </c>
      <c r="P80" s="35">
        <f t="shared" si="21"/>
        <v>8.4993513115757438E-2</v>
      </c>
      <c r="Q80" s="35" t="str">
        <f t="shared" si="33"/>
        <v/>
      </c>
      <c r="S80" s="29">
        <f t="shared" si="34"/>
        <v>673.20692600345069</v>
      </c>
      <c r="T80" s="52">
        <f t="shared" si="35"/>
        <v>673.20692600345069</v>
      </c>
      <c r="U80" s="35">
        <f t="shared" si="22"/>
        <v>0</v>
      </c>
      <c r="W80" s="82">
        <v>2.2200000000000001E-2</v>
      </c>
      <c r="X80" s="34">
        <f t="shared" si="36"/>
        <v>8.4993513115757438E-2</v>
      </c>
      <c r="Y80" s="34">
        <f t="shared" si="37"/>
        <v>6.2793513115757441E-2</v>
      </c>
      <c r="AA80" s="35">
        <f t="shared" si="23"/>
        <v>2.2200000000000001E-2</v>
      </c>
      <c r="AB80" s="34">
        <f t="shared" si="24"/>
        <v>8.4993513115757438E-2</v>
      </c>
      <c r="AC80" s="35">
        <f t="shared" si="38"/>
        <v>3.3580085350443156E-2</v>
      </c>
      <c r="AD80" s="34">
        <f t="shared" si="39"/>
        <v>5.1413427765314282E-2</v>
      </c>
    </row>
    <row r="81" spans="1:30" x14ac:dyDescent="0.2">
      <c r="A81" s="26">
        <v>44407</v>
      </c>
      <c r="B81" s="27">
        <v>284.91000366210938</v>
      </c>
      <c r="C81" s="33">
        <f t="shared" si="25"/>
        <v>5.1716537767728665E-2</v>
      </c>
      <c r="D81" s="27">
        <v>194.99000549316406</v>
      </c>
      <c r="E81" s="33">
        <f>(4.01*D81/D80)-1</f>
        <v>-2.273472580102065E-2</v>
      </c>
      <c r="F81" s="27">
        <v>2704.419921875</v>
      </c>
      <c r="G81" s="33">
        <f t="shared" si="27"/>
        <v>7.9040125806956629E-2</v>
      </c>
      <c r="H81" s="27">
        <v>687.20001220703125</v>
      </c>
      <c r="I81" s="33">
        <f t="shared" si="28"/>
        <v>1.1034279631167099E-2</v>
      </c>
      <c r="K81" s="34">
        <f t="shared" si="29"/>
        <v>5.1716537767728665E-2</v>
      </c>
      <c r="L81" s="34">
        <f t="shared" si="30"/>
        <v>-2.273472580102065E-2</v>
      </c>
      <c r="M81" s="34">
        <f t="shared" si="31"/>
        <v>7.9040125806956629E-2</v>
      </c>
      <c r="N81" s="34">
        <f t="shared" si="32"/>
        <v>1.1034279631167099E-2</v>
      </c>
      <c r="P81" s="35">
        <f t="shared" si="21"/>
        <v>5.1627166371819078E-2</v>
      </c>
      <c r="Q81" s="35" t="str">
        <f t="shared" si="33"/>
        <v/>
      </c>
      <c r="S81" s="29">
        <f t="shared" si="34"/>
        <v>707.96269197489175</v>
      </c>
      <c r="T81" s="52">
        <f t="shared" si="35"/>
        <v>707.96269197489175</v>
      </c>
      <c r="U81" s="35">
        <f t="shared" si="22"/>
        <v>0</v>
      </c>
      <c r="W81" s="82">
        <v>2.2700000000000001E-2</v>
      </c>
      <c r="X81" s="34">
        <f t="shared" si="36"/>
        <v>5.1627166371819078E-2</v>
      </c>
      <c r="Y81" s="34">
        <f t="shared" si="37"/>
        <v>2.8927166371819076E-2</v>
      </c>
      <c r="AA81" s="35">
        <f t="shared" si="23"/>
        <v>2.2700000000000001E-2</v>
      </c>
      <c r="AB81" s="34">
        <f t="shared" si="24"/>
        <v>5.1627166371819078E-2</v>
      </c>
      <c r="AC81" s="35">
        <f t="shared" si="38"/>
        <v>3.406702120491413E-2</v>
      </c>
      <c r="AD81" s="34">
        <f t="shared" si="39"/>
        <v>1.7560145166904947E-2</v>
      </c>
    </row>
    <row r="82" spans="1:30" x14ac:dyDescent="0.2">
      <c r="A82" s="26">
        <v>44439</v>
      </c>
      <c r="B82" s="27">
        <v>301.8800048828125</v>
      </c>
      <c r="C82" s="33">
        <f t="shared" si="25"/>
        <v>5.956267243191915E-2</v>
      </c>
      <c r="D82" s="27">
        <v>223.85000610351562</v>
      </c>
      <c r="E82" s="33">
        <f t="shared" si="26"/>
        <v>0.14800758909339762</v>
      </c>
      <c r="F82" s="27">
        <v>2909.239990234375</v>
      </c>
      <c r="G82" s="33">
        <f t="shared" si="27"/>
        <v>7.5735305269224451E-2</v>
      </c>
      <c r="H82" s="27">
        <v>735.719970703125</v>
      </c>
      <c r="I82" s="33">
        <f t="shared" si="28"/>
        <v>7.0605293414162773E-2</v>
      </c>
      <c r="K82" s="34">
        <f t="shared" si="29"/>
        <v>5.956267243191915E-2</v>
      </c>
      <c r="L82" s="34">
        <f t="shared" si="30"/>
        <v>0.14800758909339762</v>
      </c>
      <c r="M82" s="34">
        <f t="shared" si="31"/>
        <v>7.5735305269224451E-2</v>
      </c>
      <c r="N82" s="34">
        <f t="shared" si="32"/>
        <v>7.0605293414162773E-2</v>
      </c>
      <c r="P82" s="35">
        <f t="shared" si="21"/>
        <v>5.958693102760413E-2</v>
      </c>
      <c r="Q82" s="35" t="str">
        <f t="shared" si="33"/>
        <v/>
      </c>
      <c r="S82" s="29">
        <f t="shared" si="34"/>
        <v>750.14801607171648</v>
      </c>
      <c r="T82" s="52">
        <f t="shared" si="35"/>
        <v>750.14801607171648</v>
      </c>
      <c r="U82" s="35">
        <f t="shared" si="22"/>
        <v>0</v>
      </c>
      <c r="W82" s="82">
        <v>2.9000000000000001E-2</v>
      </c>
      <c r="X82" s="34">
        <f t="shared" si="36"/>
        <v>5.958693102760413E-2</v>
      </c>
      <c r="Y82" s="34">
        <f t="shared" si="37"/>
        <v>3.0586931027604129E-2</v>
      </c>
      <c r="AA82" s="35">
        <f t="shared" si="23"/>
        <v>2.9000000000000001E-2</v>
      </c>
      <c r="AB82" s="34">
        <f t="shared" si="24"/>
        <v>5.958693102760413E-2</v>
      </c>
      <c r="AC82" s="35">
        <f t="shared" si="38"/>
        <v>4.0202412971248373E-2</v>
      </c>
      <c r="AD82" s="34">
        <f t="shared" si="39"/>
        <v>1.9384518056355757E-2</v>
      </c>
    </row>
    <row r="83" spans="1:30" x14ac:dyDescent="0.2">
      <c r="A83" s="26">
        <v>44469</v>
      </c>
      <c r="B83" s="27">
        <v>281.92001342773438</v>
      </c>
      <c r="C83" s="33">
        <f t="shared" si="25"/>
        <v>-6.6118958302079145E-2</v>
      </c>
      <c r="D83" s="27">
        <v>207.16000366210938</v>
      </c>
      <c r="E83" s="33">
        <f t="shared" si="26"/>
        <v>-7.4558865250547446E-2</v>
      </c>
      <c r="F83" s="27">
        <v>2665.31005859375</v>
      </c>
      <c r="G83" s="33">
        <f t="shared" si="27"/>
        <v>-8.3846617143803703E-2</v>
      </c>
      <c r="H83" s="27">
        <v>775.47998046875</v>
      </c>
      <c r="I83" s="33">
        <f t="shared" si="28"/>
        <v>5.4042314126156565E-2</v>
      </c>
      <c r="K83" s="34">
        <f t="shared" si="29"/>
        <v>-6.6118958302079145E-2</v>
      </c>
      <c r="L83" s="34">
        <f t="shared" si="30"/>
        <v>-7.4558865250547446E-2</v>
      </c>
      <c r="M83" s="34">
        <f t="shared" si="31"/>
        <v>-8.3846617143803703E-2</v>
      </c>
      <c r="N83" s="34">
        <f t="shared" si="32"/>
        <v>5.4042314126156565E-2</v>
      </c>
      <c r="P83" s="35">
        <f t="shared" si="21"/>
        <v>-6.5854986213432068E-2</v>
      </c>
      <c r="Q83" s="35">
        <f t="shared" si="33"/>
        <v>-6.5854986213432068E-2</v>
      </c>
      <c r="S83" s="29">
        <f t="shared" si="34"/>
        <v>700.74702881528015</v>
      </c>
      <c r="T83" s="52">
        <f t="shared" si="35"/>
        <v>750.14801607171648</v>
      </c>
      <c r="U83" s="35">
        <f t="shared" si="22"/>
        <v>-6.585498621343211E-2</v>
      </c>
      <c r="W83" s="82">
        <v>-4.7600000000000003E-2</v>
      </c>
      <c r="X83" s="34">
        <f t="shared" si="36"/>
        <v>-6.5854986213432068E-2</v>
      </c>
      <c r="Y83" s="34">
        <f t="shared" si="37"/>
        <v>-1.8254986213432065E-2</v>
      </c>
      <c r="AA83" s="35">
        <f t="shared" si="23"/>
        <v>-4.7600000000000003E-2</v>
      </c>
      <c r="AB83" s="34">
        <f t="shared" si="24"/>
        <v>-6.5854986213432068E-2</v>
      </c>
      <c r="AC83" s="35">
        <f t="shared" si="38"/>
        <v>-3.4396159933704505E-2</v>
      </c>
      <c r="AD83" s="34">
        <f t="shared" si="39"/>
        <v>-3.1458826279727563E-2</v>
      </c>
    </row>
    <row r="84" spans="1:30" x14ac:dyDescent="0.2">
      <c r="A84" s="26">
        <v>44498</v>
      </c>
      <c r="B84" s="27">
        <v>331.6199951171875</v>
      </c>
      <c r="C84" s="33">
        <f t="shared" si="25"/>
        <v>0.17629107307840308</v>
      </c>
      <c r="D84" s="27">
        <v>255.66999816894531</v>
      </c>
      <c r="E84" s="33">
        <f t="shared" si="26"/>
        <v>0.23416679691683484</v>
      </c>
      <c r="F84" s="27">
        <v>2965.409912109375</v>
      </c>
      <c r="G84" s="33">
        <f t="shared" si="27"/>
        <v>0.11259472516077973</v>
      </c>
      <c r="H84" s="27">
        <v>1114</v>
      </c>
      <c r="I84" s="33">
        <f t="shared" si="28"/>
        <v>0.43652966943985683</v>
      </c>
      <c r="K84" s="34">
        <f t="shared" si="29"/>
        <v>0.17629107307840308</v>
      </c>
      <c r="L84" s="34">
        <f t="shared" si="30"/>
        <v>0.23416679691683484</v>
      </c>
      <c r="M84" s="34">
        <f t="shared" si="31"/>
        <v>0.11259472516077973</v>
      </c>
      <c r="N84" s="34">
        <f t="shared" si="32"/>
        <v>0.43652966943985683</v>
      </c>
      <c r="P84" s="35">
        <f t="shared" si="21"/>
        <v>0.17686276913687471</v>
      </c>
      <c r="Q84" s="35" t="str">
        <f t="shared" si="33"/>
        <v/>
      </c>
      <c r="S84" s="29">
        <f t="shared" si="34"/>
        <v>824.68308879598794</v>
      </c>
      <c r="T84" s="52">
        <f t="shared" si="35"/>
        <v>824.68308879598794</v>
      </c>
      <c r="U84" s="35">
        <f t="shared" si="22"/>
        <v>0</v>
      </c>
      <c r="W84" s="82">
        <v>6.9099999999999995E-2</v>
      </c>
      <c r="X84" s="34">
        <f t="shared" si="36"/>
        <v>0.17686276913687471</v>
      </c>
      <c r="Y84" s="34">
        <f t="shared" si="37"/>
        <v>0.10776276913687471</v>
      </c>
      <c r="AA84" s="35">
        <f t="shared" si="23"/>
        <v>6.9099999999999995E-2</v>
      </c>
      <c r="AB84" s="34">
        <f t="shared" si="24"/>
        <v>0.17686276913687471</v>
      </c>
      <c r="AC84" s="35">
        <f t="shared" si="38"/>
        <v>7.925466849982031E-2</v>
      </c>
      <c r="AD84" s="34">
        <f t="shared" si="39"/>
        <v>9.7608100637054399E-2</v>
      </c>
    </row>
    <row r="85" spans="1:30" x14ac:dyDescent="0.2">
      <c r="A85" s="26">
        <v>44530</v>
      </c>
      <c r="B85" s="27">
        <v>330.58999633789062</v>
      </c>
      <c r="C85" s="33">
        <f t="shared" si="25"/>
        <v>-3.1059610230466106E-3</v>
      </c>
      <c r="D85" s="27">
        <v>326.760009765625</v>
      </c>
      <c r="E85" s="33">
        <f t="shared" si="26"/>
        <v>0.27805378850006401</v>
      </c>
      <c r="F85" s="27">
        <v>2849.0400390625</v>
      </c>
      <c r="G85" s="33">
        <f t="shared" si="27"/>
        <v>-3.9242423980466845E-2</v>
      </c>
      <c r="H85" s="27">
        <v>1144.760009765625</v>
      </c>
      <c r="I85" s="33">
        <f t="shared" si="28"/>
        <v>2.7612217024798102E-2</v>
      </c>
      <c r="K85" s="34">
        <f t="shared" si="29"/>
        <v>-3.1059610230466106E-3</v>
      </c>
      <c r="L85" s="34">
        <f t="shared" si="30"/>
        <v>0.27805378850006401</v>
      </c>
      <c r="M85" s="34">
        <f t="shared" si="31"/>
        <v>-3.9242423980466845E-2</v>
      </c>
      <c r="N85" s="34">
        <f t="shared" si="32"/>
        <v>2.7612217024798102E-2</v>
      </c>
      <c r="P85" s="35">
        <f t="shared" si="21"/>
        <v>-3.0384788679823247E-3</v>
      </c>
      <c r="Q85" s="35">
        <f t="shared" si="33"/>
        <v>-3.0384788679823247E-3</v>
      </c>
      <c r="S85" s="29">
        <f t="shared" si="34"/>
        <v>822.17730665789895</v>
      </c>
      <c r="T85" s="52">
        <f t="shared" si="35"/>
        <v>824.68308879598794</v>
      </c>
      <c r="U85" s="35">
        <f t="shared" si="22"/>
        <v>-3.0384788679823638E-3</v>
      </c>
      <c r="W85" s="82">
        <v>-8.3000000000000001E-3</v>
      </c>
      <c r="X85" s="34">
        <f t="shared" si="36"/>
        <v>-3.0384788679823247E-3</v>
      </c>
      <c r="Y85" s="34">
        <f t="shared" si="37"/>
        <v>5.2615211320176753E-3</v>
      </c>
      <c r="AA85" s="35">
        <f t="shared" si="23"/>
        <v>-8.3000000000000001E-3</v>
      </c>
      <c r="AB85" s="34">
        <f t="shared" si="24"/>
        <v>-3.0384788679823247E-3</v>
      </c>
      <c r="AC85" s="35">
        <f t="shared" si="38"/>
        <v>3.8769982277138768E-3</v>
      </c>
      <c r="AD85" s="34">
        <f t="shared" si="39"/>
        <v>-6.9154770956962016E-3</v>
      </c>
    </row>
    <row r="86" spans="1:30" x14ac:dyDescent="0.2">
      <c r="A86" s="26">
        <v>44561</v>
      </c>
      <c r="B86" s="27">
        <v>336.32000732421875</v>
      </c>
      <c r="C86" s="33">
        <f t="shared" si="25"/>
        <v>1.7332681114983206E-2</v>
      </c>
      <c r="D86" s="27">
        <v>294.1099853515625</v>
      </c>
      <c r="E86" s="33">
        <f t="shared" si="26"/>
        <v>-9.9920502626626106E-2</v>
      </c>
      <c r="F86" s="27">
        <v>2893.590087890625</v>
      </c>
      <c r="G86" s="33">
        <f t="shared" si="27"/>
        <v>1.5636863019582004E-2</v>
      </c>
      <c r="H86" s="27">
        <v>1056.780029296875</v>
      </c>
      <c r="I86" s="33">
        <f t="shared" si="28"/>
        <v>-7.6854519478508632E-2</v>
      </c>
      <c r="K86" s="34">
        <f t="shared" si="29"/>
        <v>1.7332681114983206E-2</v>
      </c>
      <c r="L86" s="34">
        <f t="shared" si="30"/>
        <v>-9.9920502626626106E-2</v>
      </c>
      <c r="M86" s="34">
        <f t="shared" si="31"/>
        <v>1.5636863019582004E-2</v>
      </c>
      <c r="N86" s="34">
        <f t="shared" si="32"/>
        <v>-7.6854519478508632E-2</v>
      </c>
      <c r="P86" s="35">
        <f t="shared" si="21"/>
        <v>1.712576925759306E-2</v>
      </c>
      <c r="Q86" s="35" t="str">
        <f t="shared" si="33"/>
        <v/>
      </c>
      <c r="S86" s="29">
        <f t="shared" si="34"/>
        <v>836.25772550055137</v>
      </c>
      <c r="T86" s="52">
        <f t="shared" si="35"/>
        <v>836.25772550055137</v>
      </c>
      <c r="U86" s="35">
        <f t="shared" si="22"/>
        <v>0</v>
      </c>
      <c r="W86" s="82">
        <v>4.36E-2</v>
      </c>
      <c r="X86" s="34">
        <f t="shared" si="36"/>
        <v>1.712576925759306E-2</v>
      </c>
      <c r="Y86" s="34">
        <f t="shared" si="37"/>
        <v>-2.6474230742406939E-2</v>
      </c>
      <c r="AA86" s="35">
        <f t="shared" si="23"/>
        <v>4.36E-2</v>
      </c>
      <c r="AB86" s="34">
        <f t="shared" si="24"/>
        <v>1.712576925759306E-2</v>
      </c>
      <c r="AC86" s="35">
        <f t="shared" si="38"/>
        <v>5.4420939921800741E-2</v>
      </c>
      <c r="AD86" s="34">
        <f t="shared" si="39"/>
        <v>-3.7295170664207677E-2</v>
      </c>
    </row>
    <row r="87" spans="1:30" x14ac:dyDescent="0.2">
      <c r="A87" s="26">
        <v>44592</v>
      </c>
      <c r="B87" s="27">
        <v>310.98001098632812</v>
      </c>
      <c r="C87" s="33">
        <f t="shared" si="25"/>
        <v>-7.5344897080304785E-2</v>
      </c>
      <c r="D87" s="27">
        <v>244.86000061035156</v>
      </c>
      <c r="E87" s="33">
        <f t="shared" si="26"/>
        <v>-0.16745431027219382</v>
      </c>
      <c r="F87" s="27">
        <v>2713.969970703125</v>
      </c>
      <c r="G87" s="33">
        <f t="shared" si="27"/>
        <v>-6.2075177109291224E-2</v>
      </c>
      <c r="H87" s="27">
        <v>936.719970703125</v>
      </c>
      <c r="I87" s="33">
        <f t="shared" si="28"/>
        <v>-0.11360931817914044</v>
      </c>
      <c r="K87" s="34">
        <f t="shared" si="29"/>
        <v>-7.5344897080304785E-2</v>
      </c>
      <c r="L87" s="34">
        <f t="shared" si="30"/>
        <v>-0.16745431027219382</v>
      </c>
      <c r="M87" s="34">
        <f t="shared" si="31"/>
        <v>-6.2075177109291224E-2</v>
      </c>
      <c r="N87" s="34">
        <f t="shared" si="32"/>
        <v>-0.11360931817914044</v>
      </c>
      <c r="P87" s="35">
        <f t="shared" si="21"/>
        <v>-7.542895693548296E-2</v>
      </c>
      <c r="Q87" s="35">
        <f t="shared" si="33"/>
        <v>-7.542895693548296E-2</v>
      </c>
      <c r="S87" s="29">
        <f t="shared" si="34"/>
        <v>773.17967753680534</v>
      </c>
      <c r="T87" s="52">
        <f t="shared" si="35"/>
        <v>836.25772550055137</v>
      </c>
      <c r="U87" s="35">
        <f t="shared" si="22"/>
        <v>-7.5428956935483016E-2</v>
      </c>
      <c r="W87" s="82">
        <v>-5.2600000000000001E-2</v>
      </c>
      <c r="X87" s="34">
        <f t="shared" si="36"/>
        <v>-7.542895693548296E-2</v>
      </c>
      <c r="Y87" s="34">
        <f t="shared" si="37"/>
        <v>-2.2828956935482959E-2</v>
      </c>
      <c r="AA87" s="35">
        <f t="shared" si="23"/>
        <v>-5.2600000000000001E-2</v>
      </c>
      <c r="AB87" s="34">
        <f t="shared" si="24"/>
        <v>-7.542895693548296E-2</v>
      </c>
      <c r="AC87" s="35">
        <f t="shared" si="38"/>
        <v>-3.9265518478414224E-2</v>
      </c>
      <c r="AD87" s="34">
        <f t="shared" si="39"/>
        <v>-3.6163438457068736E-2</v>
      </c>
    </row>
    <row r="88" spans="1:30" x14ac:dyDescent="0.2">
      <c r="A88" s="26">
        <v>44620</v>
      </c>
      <c r="B88" s="27">
        <v>298.79000854492188</v>
      </c>
      <c r="C88" s="33">
        <f t="shared" si="25"/>
        <v>-3.9198668759266919E-2</v>
      </c>
      <c r="D88" s="27">
        <v>243.85000610351562</v>
      </c>
      <c r="E88" s="33">
        <f t="shared" si="26"/>
        <v>-4.124783567419632E-3</v>
      </c>
      <c r="F88" s="27">
        <v>2697.820068359375</v>
      </c>
      <c r="G88" s="33">
        <f t="shared" si="27"/>
        <v>-5.9506562408890851E-3</v>
      </c>
      <c r="H88" s="27">
        <v>870.42999267578125</v>
      </c>
      <c r="I88" s="33">
        <f t="shared" si="28"/>
        <v>-7.0768191242453038E-2</v>
      </c>
      <c r="K88" s="34">
        <f t="shared" si="29"/>
        <v>-3.9198668759266919E-2</v>
      </c>
      <c r="L88" s="34">
        <f t="shared" si="30"/>
        <v>-4.124783567419632E-3</v>
      </c>
      <c r="M88" s="34">
        <f t="shared" si="31"/>
        <v>-5.9506562408890851E-3</v>
      </c>
      <c r="N88" s="34">
        <f t="shared" si="32"/>
        <v>-7.0768191242453038E-2</v>
      </c>
      <c r="P88" s="35">
        <f t="shared" si="21"/>
        <v>-3.9268021160577933E-2</v>
      </c>
      <c r="Q88" s="35">
        <f t="shared" si="33"/>
        <v>-3.9268021160577933E-2</v>
      </c>
      <c r="S88" s="29">
        <f t="shared" si="34"/>
        <v>742.81844159836123</v>
      </c>
      <c r="T88" s="52">
        <f t="shared" si="35"/>
        <v>836.25772550055137</v>
      </c>
      <c r="U88" s="35">
        <f t="shared" si="22"/>
        <v>-0.11173503221899805</v>
      </c>
      <c r="W88" s="82">
        <v>-3.1399999999999997E-2</v>
      </c>
      <c r="X88" s="34">
        <f t="shared" si="36"/>
        <v>-3.9268021160577933E-2</v>
      </c>
      <c r="Y88" s="34">
        <f t="shared" si="37"/>
        <v>-7.8680211605779357E-3</v>
      </c>
      <c r="AA88" s="35">
        <f t="shared" si="23"/>
        <v>-3.1399999999999997E-2</v>
      </c>
      <c r="AB88" s="34">
        <f t="shared" si="24"/>
        <v>-3.9268021160577933E-2</v>
      </c>
      <c r="AC88" s="35">
        <f t="shared" si="38"/>
        <v>-1.8619438248845016E-2</v>
      </c>
      <c r="AD88" s="34">
        <f t="shared" si="39"/>
        <v>-2.0648582911732917E-2</v>
      </c>
    </row>
    <row r="89" spans="1:30" x14ac:dyDescent="0.2">
      <c r="A89" s="26">
        <v>44651</v>
      </c>
      <c r="B89" s="27">
        <v>308.30999755859375</v>
      </c>
      <c r="C89" s="33">
        <f t="shared" si="25"/>
        <v>3.1861805085227957E-2</v>
      </c>
      <c r="D89" s="27">
        <v>272.8599853515625</v>
      </c>
      <c r="E89" s="33">
        <f t="shared" si="26"/>
        <v>0.11896648973521851</v>
      </c>
      <c r="F89" s="27">
        <v>2792.989990234375</v>
      </c>
      <c r="G89" s="33">
        <f t="shared" si="27"/>
        <v>3.5276600908701772E-2</v>
      </c>
      <c r="H89" s="27">
        <v>1077.5999755859375</v>
      </c>
      <c r="I89" s="33">
        <f t="shared" si="28"/>
        <v>0.23800878261707958</v>
      </c>
      <c r="K89" s="34">
        <f t="shared" si="29"/>
        <v>3.1861805085227957E-2</v>
      </c>
      <c r="L89" s="34">
        <f t="shared" si="30"/>
        <v>0.11896648973521851</v>
      </c>
      <c r="M89" s="34">
        <f t="shared" si="31"/>
        <v>3.5276600908701772E-2</v>
      </c>
      <c r="N89" s="34">
        <f t="shared" si="32"/>
        <v>0.23800878261707958</v>
      </c>
      <c r="P89" s="35">
        <f t="shared" si="21"/>
        <v>3.2314671862748834E-2</v>
      </c>
      <c r="Q89" s="35" t="str">
        <f t="shared" si="33"/>
        <v/>
      </c>
      <c r="S89" s="29">
        <f t="shared" si="34"/>
        <v>766.82237579221078</v>
      </c>
      <c r="T89" s="52">
        <f t="shared" si="35"/>
        <v>836.25772550055137</v>
      </c>
      <c r="U89" s="35">
        <f t="shared" si="22"/>
        <v>-8.3031041257979776E-2</v>
      </c>
      <c r="W89" s="82">
        <v>3.5799999999999998E-2</v>
      </c>
      <c r="X89" s="34">
        <f t="shared" si="36"/>
        <v>3.2314671862748834E-2</v>
      </c>
      <c r="Y89" s="34">
        <f t="shared" si="37"/>
        <v>-3.4853281372511646E-3</v>
      </c>
      <c r="AA89" s="35">
        <f t="shared" si="23"/>
        <v>3.5799999999999998E-2</v>
      </c>
      <c r="AB89" s="34">
        <f t="shared" si="24"/>
        <v>3.2314671862748834E-2</v>
      </c>
      <c r="AC89" s="35">
        <f t="shared" si="38"/>
        <v>4.6824740592053583E-2</v>
      </c>
      <c r="AD89" s="34">
        <f t="shared" si="39"/>
        <v>-1.451006872930475E-2</v>
      </c>
    </row>
    <row r="90" spans="1:30" x14ac:dyDescent="0.2">
      <c r="A90" s="26">
        <v>44680</v>
      </c>
      <c r="B90" s="27">
        <v>277.51998901367188</v>
      </c>
      <c r="C90" s="33">
        <f t="shared" si="25"/>
        <v>-9.9867045469617888E-2</v>
      </c>
      <c r="D90" s="27">
        <v>185.47000122070312</v>
      </c>
      <c r="E90" s="33">
        <f t="shared" si="26"/>
        <v>-0.32027409229045811</v>
      </c>
      <c r="F90" s="27">
        <v>2299.330078125</v>
      </c>
      <c r="G90" s="33">
        <f t="shared" si="27"/>
        <v>-0.17674961737616157</v>
      </c>
      <c r="H90" s="27">
        <v>870.760009765625</v>
      </c>
      <c r="I90" s="33">
        <f t="shared" si="28"/>
        <v>-0.19194503573354738</v>
      </c>
      <c r="K90" s="34">
        <f t="shared" si="29"/>
        <v>-9.9867045469617888E-2</v>
      </c>
      <c r="L90" s="34">
        <f t="shared" si="30"/>
        <v>-0.32027409229045811</v>
      </c>
      <c r="M90" s="34">
        <f t="shared" si="31"/>
        <v>-0.17674961737616157</v>
      </c>
      <c r="N90" s="34">
        <f t="shared" si="32"/>
        <v>-0.19194503573354738</v>
      </c>
      <c r="P90" s="35">
        <f t="shared" si="21"/>
        <v>-0.10006932378206611</v>
      </c>
      <c r="Q90" s="35">
        <f t="shared" si="33"/>
        <v>-0.10006932378206611</v>
      </c>
      <c r="S90" s="29">
        <f t="shared" si="34"/>
        <v>690.08697918572682</v>
      </c>
      <c r="T90" s="52">
        <f t="shared" si="35"/>
        <v>836.25772550055137</v>
      </c>
      <c r="U90" s="35">
        <f t="shared" si="22"/>
        <v>-0.17479150488843909</v>
      </c>
      <c r="W90" s="82">
        <v>-8.7999999999999995E-2</v>
      </c>
      <c r="X90" s="34">
        <f t="shared" si="36"/>
        <v>-0.10006932378206611</v>
      </c>
      <c r="Y90" s="34">
        <f t="shared" si="37"/>
        <v>-1.2069323782066113E-2</v>
      </c>
      <c r="AA90" s="35">
        <f t="shared" si="23"/>
        <v>-8.7999999999999995E-2</v>
      </c>
      <c r="AB90" s="34">
        <f t="shared" si="24"/>
        <v>-0.10006932378206611</v>
      </c>
      <c r="AC90" s="35">
        <f t="shared" si="38"/>
        <v>-7.3740576974959005E-2</v>
      </c>
      <c r="AD90" s="34">
        <f t="shared" si="39"/>
        <v>-2.6328746807107103E-2</v>
      </c>
    </row>
    <row r="91" spans="1:30" x14ac:dyDescent="0.2">
      <c r="A91" s="26">
        <v>44712</v>
      </c>
      <c r="B91" s="27">
        <v>271.8699951171875</v>
      </c>
      <c r="C91" s="33">
        <f t="shared" si="25"/>
        <v>-2.0358871865644335E-2</v>
      </c>
      <c r="D91" s="27">
        <v>186.72000122070312</v>
      </c>
      <c r="E91" s="33">
        <f t="shared" si="26"/>
        <v>6.7396343978698425E-3</v>
      </c>
      <c r="F91" s="27">
        <v>2280.780029296875</v>
      </c>
      <c r="G91" s="33">
        <f t="shared" si="27"/>
        <v>-8.0675884704869416E-3</v>
      </c>
      <c r="H91" s="27">
        <v>758.260009765625</v>
      </c>
      <c r="I91" s="33">
        <f t="shared" si="28"/>
        <v>-0.1291974812098694</v>
      </c>
      <c r="K91" s="34">
        <f t="shared" si="29"/>
        <v>-2.0358871865644335E-2</v>
      </c>
      <c r="L91" s="34">
        <f t="shared" si="30"/>
        <v>6.7396343978698425E-3</v>
      </c>
      <c r="M91" s="34">
        <f t="shared" si="31"/>
        <v>-8.0675884704869416E-3</v>
      </c>
      <c r="N91" s="34">
        <f t="shared" si="32"/>
        <v>-0.1291974812098694</v>
      </c>
      <c r="P91" s="35">
        <f t="shared" si="21"/>
        <v>-2.0597970157909901E-2</v>
      </c>
      <c r="Q91" s="35">
        <f t="shared" si="33"/>
        <v>-2.0597970157909901E-2</v>
      </c>
      <c r="S91" s="29">
        <f t="shared" si="34"/>
        <v>675.87258818209705</v>
      </c>
      <c r="T91" s="52">
        <f t="shared" si="35"/>
        <v>836.25772550055137</v>
      </c>
      <c r="U91" s="35">
        <f t="shared" si="22"/>
        <v>-0.19178912484480071</v>
      </c>
      <c r="W91" s="82">
        <v>1E-4</v>
      </c>
      <c r="X91" s="34">
        <f t="shared" si="36"/>
        <v>-2.0597970157909901E-2</v>
      </c>
      <c r="Y91" s="34">
        <f t="shared" si="37"/>
        <v>-2.06979701579099E-2</v>
      </c>
      <c r="AA91" s="35">
        <f t="shared" si="23"/>
        <v>1E-4</v>
      </c>
      <c r="AB91" s="34">
        <f t="shared" si="24"/>
        <v>-2.0597970157909901E-2</v>
      </c>
      <c r="AC91" s="35">
        <f t="shared" si="38"/>
        <v>1.2057520582826203E-2</v>
      </c>
      <c r="AD91" s="34">
        <f t="shared" si="39"/>
        <v>-3.2655490740736107E-2</v>
      </c>
    </row>
    <row r="92" spans="1:30" x14ac:dyDescent="0.2">
      <c r="A92" s="26">
        <v>44742</v>
      </c>
      <c r="B92" s="27">
        <v>256.82998657226562</v>
      </c>
      <c r="C92" s="33">
        <f t="shared" si="25"/>
        <v>-5.5320590043189566E-2</v>
      </c>
      <c r="D92" s="27">
        <v>151.58999633789062</v>
      </c>
      <c r="E92" s="33">
        <f t="shared" si="26"/>
        <v>-0.18814269844229925</v>
      </c>
      <c r="F92" s="27">
        <v>2187.449951171875</v>
      </c>
      <c r="G92" s="33">
        <f t="shared" si="27"/>
        <v>-4.0920245234597252E-2</v>
      </c>
      <c r="H92" s="27">
        <v>673.41998291015625</v>
      </c>
      <c r="I92" s="33">
        <f t="shared" si="28"/>
        <v>-0.111887776966759</v>
      </c>
      <c r="K92" s="34">
        <f t="shared" si="29"/>
        <v>-5.5320590043189566E-2</v>
      </c>
      <c r="L92" s="34">
        <f t="shared" si="30"/>
        <v>-0.18814269844229925</v>
      </c>
      <c r="M92" s="34">
        <f t="shared" si="31"/>
        <v>-4.0920245234597252E-2</v>
      </c>
      <c r="N92" s="34">
        <f t="shared" si="32"/>
        <v>-0.111887776966759</v>
      </c>
      <c r="P92" s="35">
        <f t="shared" si="21"/>
        <v>-5.5444857689323501E-2</v>
      </c>
      <c r="Q92" s="35">
        <f t="shared" si="33"/>
        <v>-5.5444857689323501E-2</v>
      </c>
      <c r="S92" s="29">
        <f t="shared" si="34"/>
        <v>638.39892871422592</v>
      </c>
      <c r="T92" s="52">
        <f t="shared" si="35"/>
        <v>836.25772550055137</v>
      </c>
      <c r="U92" s="35">
        <f t="shared" si="22"/>
        <v>-0.23660026180074434</v>
      </c>
      <c r="W92" s="82">
        <v>-8.3900000000000002E-2</v>
      </c>
      <c r="X92" s="34">
        <f t="shared" si="36"/>
        <v>-5.5444857689323501E-2</v>
      </c>
      <c r="Y92" s="34">
        <f t="shared" si="37"/>
        <v>2.8455142310676501E-2</v>
      </c>
      <c r="AA92" s="35">
        <f t="shared" si="23"/>
        <v>-8.3900000000000002E-2</v>
      </c>
      <c r="AB92" s="34">
        <f t="shared" si="24"/>
        <v>-5.5444857689323501E-2</v>
      </c>
      <c r="AC92" s="35">
        <f t="shared" si="38"/>
        <v>-6.9747702968297048E-2</v>
      </c>
      <c r="AD92" s="34">
        <f t="shared" si="39"/>
        <v>1.4302845278973547E-2</v>
      </c>
    </row>
    <row r="93" spans="1:30" x14ac:dyDescent="0.2">
      <c r="A93" s="26">
        <v>44771</v>
      </c>
      <c r="B93" s="27">
        <v>280.739990234375</v>
      </c>
      <c r="C93" s="33">
        <f t="shared" si="25"/>
        <v>9.3096619990600926E-2</v>
      </c>
      <c r="D93" s="27">
        <v>181.6300048828125</v>
      </c>
      <c r="E93" s="33">
        <f t="shared" si="26"/>
        <v>0.198166167099598</v>
      </c>
      <c r="F93" s="27">
        <v>116.63999938964844</v>
      </c>
      <c r="G93" s="33">
        <f>(19.67*F93/F92)-1</f>
        <v>4.8850871657778017E-2</v>
      </c>
      <c r="H93" s="27">
        <v>891.45001220703125</v>
      </c>
      <c r="I93" s="33">
        <f t="shared" si="28"/>
        <v>0.32376530965812345</v>
      </c>
      <c r="K93" s="34">
        <f t="shared" si="29"/>
        <v>9.3096619990600926E-2</v>
      </c>
      <c r="L93" s="34">
        <f t="shared" si="30"/>
        <v>0.198166167099598</v>
      </c>
      <c r="M93" s="34">
        <f t="shared" si="31"/>
        <v>4.8850871657778017E-2</v>
      </c>
      <c r="N93" s="34">
        <f t="shared" si="32"/>
        <v>0.32376530965812345</v>
      </c>
      <c r="P93" s="35">
        <f t="shared" si="21"/>
        <v>9.3603356433770782E-2</v>
      </c>
      <c r="Q93" s="35" t="str">
        <f t="shared" si="33"/>
        <v/>
      </c>
      <c r="S93" s="29">
        <f t="shared" si="34"/>
        <v>698.15521118560105</v>
      </c>
      <c r="T93" s="52">
        <f t="shared" si="35"/>
        <v>836.25772550055137</v>
      </c>
      <c r="U93" s="35">
        <f t="shared" si="22"/>
        <v>-0.16514348400463208</v>
      </c>
      <c r="W93" s="82">
        <v>9.11E-2</v>
      </c>
      <c r="X93" s="34">
        <f t="shared" si="36"/>
        <v>9.3603356433770782E-2</v>
      </c>
      <c r="Y93" s="34">
        <f t="shared" si="37"/>
        <v>2.5033564337707814E-3</v>
      </c>
      <c r="AA93" s="35">
        <f t="shared" si="23"/>
        <v>9.11E-2</v>
      </c>
      <c r="AB93" s="34">
        <f t="shared" si="24"/>
        <v>9.3603356433770782E-2</v>
      </c>
      <c r="AC93" s="35">
        <f t="shared" si="38"/>
        <v>0.10067984609654307</v>
      </c>
      <c r="AD93" s="34">
        <f t="shared" si="39"/>
        <v>-7.0764896627722867E-3</v>
      </c>
    </row>
    <row r="94" spans="1:30" x14ac:dyDescent="0.2">
      <c r="A94" s="26">
        <v>44804</v>
      </c>
      <c r="B94" s="27">
        <v>261.47000122070312</v>
      </c>
      <c r="C94" s="33">
        <f t="shared" si="25"/>
        <v>-6.8639986051094337E-2</v>
      </c>
      <c r="D94" s="27">
        <v>150.94000244140625</v>
      </c>
      <c r="E94" s="33">
        <f t="shared" si="26"/>
        <v>-0.16896989272894314</v>
      </c>
      <c r="F94" s="27">
        <v>109.15000152587891</v>
      </c>
      <c r="G94" s="33">
        <f t="shared" si="27"/>
        <v>-6.421465966189166E-2</v>
      </c>
      <c r="H94" s="27">
        <v>275.6099853515625</v>
      </c>
      <c r="I94" s="33">
        <f>(3*H94/H93)-1</f>
        <v>-7.2488704097225742E-2</v>
      </c>
      <c r="K94" s="34">
        <f t="shared" si="29"/>
        <v>-6.8639986051094337E-2</v>
      </c>
      <c r="L94" s="34">
        <f t="shared" si="30"/>
        <v>-0.16896989272894314</v>
      </c>
      <c r="M94" s="34">
        <f t="shared" si="31"/>
        <v>-6.421465966189166E-2</v>
      </c>
      <c r="N94" s="34">
        <f t="shared" si="32"/>
        <v>-7.2488704097225742E-2</v>
      </c>
      <c r="P94" s="35">
        <f t="shared" si="21"/>
        <v>-6.8648440972723657E-2</v>
      </c>
      <c r="Q94" s="35">
        <f t="shared" si="33"/>
        <v>-6.8648440972723657E-2</v>
      </c>
      <c r="S94" s="29">
        <f t="shared" si="34"/>
        <v>650.22794438072685</v>
      </c>
      <c r="T94" s="52">
        <f t="shared" si="35"/>
        <v>836.25772550055137</v>
      </c>
      <c r="U94" s="35">
        <f t="shared" si="22"/>
        <v>-0.22245508226363386</v>
      </c>
      <c r="W94" s="82">
        <v>-4.24E-2</v>
      </c>
      <c r="X94" s="34">
        <f t="shared" si="36"/>
        <v>-6.8648440972723657E-2</v>
      </c>
      <c r="Y94" s="34">
        <f t="shared" si="37"/>
        <v>-2.6248440972723656E-2</v>
      </c>
      <c r="AA94" s="35">
        <f t="shared" si="23"/>
        <v>-4.24E-2</v>
      </c>
      <c r="AB94" s="34">
        <f t="shared" si="24"/>
        <v>-6.8648440972723657E-2</v>
      </c>
      <c r="AC94" s="35">
        <f t="shared" si="38"/>
        <v>-2.9332027047206395E-2</v>
      </c>
      <c r="AD94" s="34">
        <f t="shared" si="39"/>
        <v>-3.9316413925517261E-2</v>
      </c>
    </row>
    <row r="95" spans="1:30" x14ac:dyDescent="0.2">
      <c r="A95" s="26">
        <v>44834</v>
      </c>
      <c r="B95" s="27">
        <v>232.89999389648438</v>
      </c>
      <c r="C95" s="33">
        <f t="shared" si="25"/>
        <v>-0.10926686499727056</v>
      </c>
      <c r="D95" s="27">
        <v>121.38999938964844</v>
      </c>
      <c r="E95" s="33">
        <f t="shared" si="26"/>
        <v>-0.19577317194776711</v>
      </c>
      <c r="F95" s="27">
        <v>96.150001525878906</v>
      </c>
      <c r="G95" s="33">
        <f t="shared" si="27"/>
        <v>-0.11910215133545154</v>
      </c>
      <c r="H95" s="27">
        <v>265.25</v>
      </c>
      <c r="I95" s="33">
        <f t="shared" si="28"/>
        <v>-3.7589296114752591E-2</v>
      </c>
      <c r="K95" s="34">
        <f t="shared" si="29"/>
        <v>-0.10926686499727056</v>
      </c>
      <c r="L95" s="34">
        <f t="shared" si="30"/>
        <v>-0.19577317194776711</v>
      </c>
      <c r="M95" s="34">
        <f t="shared" si="31"/>
        <v>-0.11910215133545154</v>
      </c>
      <c r="N95" s="34">
        <f t="shared" si="32"/>
        <v>-3.7589296114752591E-2</v>
      </c>
      <c r="P95" s="35">
        <f t="shared" si="21"/>
        <v>-0.10910940263702172</v>
      </c>
      <c r="Q95" s="35">
        <f t="shared" si="33"/>
        <v>-0.10910940263702172</v>
      </c>
      <c r="S95" s="29">
        <f t="shared" si="34"/>
        <v>579.2819617914472</v>
      </c>
      <c r="T95" s="52">
        <f t="shared" si="35"/>
        <v>836.25772550055137</v>
      </c>
      <c r="U95" s="35">
        <f t="shared" si="22"/>
        <v>-0.30729254376130088</v>
      </c>
      <c r="W95" s="82">
        <v>-9.3399999999999997E-2</v>
      </c>
      <c r="X95" s="34">
        <f t="shared" si="36"/>
        <v>-0.10910940263702172</v>
      </c>
      <c r="Y95" s="34">
        <f t="shared" si="37"/>
        <v>-1.5709402637021724E-2</v>
      </c>
      <c r="AA95" s="35">
        <f t="shared" si="23"/>
        <v>-9.3399999999999997E-2</v>
      </c>
      <c r="AB95" s="34">
        <f t="shared" si="24"/>
        <v>-0.10910940263702172</v>
      </c>
      <c r="AC95" s="35">
        <f t="shared" si="38"/>
        <v>-7.8999484203245512E-2</v>
      </c>
      <c r="AD95" s="34">
        <f t="shared" si="39"/>
        <v>-3.0109918433776209E-2</v>
      </c>
    </row>
    <row r="96" spans="1:30" x14ac:dyDescent="0.2">
      <c r="A96" s="26">
        <v>44865</v>
      </c>
      <c r="B96" s="27">
        <v>232.1300048828125</v>
      </c>
      <c r="C96" s="33">
        <f t="shared" si="25"/>
        <v>-3.3060928890109587E-3</v>
      </c>
      <c r="D96" s="27">
        <v>134.97000122070312</v>
      </c>
      <c r="E96" s="33">
        <f t="shared" si="26"/>
        <v>0.11187084520417856</v>
      </c>
      <c r="F96" s="27">
        <v>94.660003662109375</v>
      </c>
      <c r="G96" s="33">
        <f t="shared" si="27"/>
        <v>-1.5496597401181478E-2</v>
      </c>
      <c r="H96" s="27">
        <v>227.53999328613281</v>
      </c>
      <c r="I96" s="33">
        <f t="shared" si="28"/>
        <v>-0.14216779156971604</v>
      </c>
      <c r="K96" s="34">
        <f t="shared" si="29"/>
        <v>-3.3060928890109587E-3</v>
      </c>
      <c r="L96" s="34">
        <f t="shared" si="30"/>
        <v>0.11187084520417856</v>
      </c>
      <c r="M96" s="34">
        <f t="shared" si="31"/>
        <v>-1.5496597401181478E-2</v>
      </c>
      <c r="N96" s="34">
        <f t="shared" si="32"/>
        <v>-0.14216779156971604</v>
      </c>
      <c r="P96" s="35">
        <f t="shared" si="21"/>
        <v>-3.6111463550162291E-3</v>
      </c>
      <c r="Q96" s="35">
        <f t="shared" si="33"/>
        <v>-3.6111463550162291E-3</v>
      </c>
      <c r="S96" s="29">
        <f t="shared" si="34"/>
        <v>577.1900898465974</v>
      </c>
      <c r="T96" s="52">
        <f t="shared" si="35"/>
        <v>836.25772550055137</v>
      </c>
      <c r="U96" s="35">
        <f t="shared" si="22"/>
        <v>-0.30979401176698984</v>
      </c>
      <c r="W96" s="82">
        <v>7.9899999999999999E-2</v>
      </c>
      <c r="X96" s="34">
        <f t="shared" si="36"/>
        <v>-3.6111463550162291E-3</v>
      </c>
      <c r="Y96" s="34">
        <f t="shared" si="37"/>
        <v>-8.3511146355016233E-2</v>
      </c>
      <c r="AA96" s="35">
        <f t="shared" si="23"/>
        <v>7.9899999999999999E-2</v>
      </c>
      <c r="AB96" s="34">
        <f t="shared" si="24"/>
        <v>-3.6111463550162291E-3</v>
      </c>
      <c r="AC96" s="35">
        <f t="shared" si="38"/>
        <v>8.9772482956393299E-2</v>
      </c>
      <c r="AD96" s="34">
        <f t="shared" si="39"/>
        <v>-9.3383629311409533E-2</v>
      </c>
    </row>
    <row r="97" spans="1:30" x14ac:dyDescent="0.2">
      <c r="A97" s="26">
        <v>44895</v>
      </c>
      <c r="B97" s="27">
        <v>255.13999938964844</v>
      </c>
      <c r="C97" s="33">
        <f t="shared" si="25"/>
        <v>9.9125464277882491E-2</v>
      </c>
      <c r="D97" s="27">
        <v>169.22999572753906</v>
      </c>
      <c r="E97" s="33">
        <f t="shared" si="26"/>
        <v>0.25383414237963842</v>
      </c>
      <c r="F97" s="27">
        <v>101.44999694824219</v>
      </c>
      <c r="G97" s="33">
        <f t="shared" si="27"/>
        <v>7.1730329848388896E-2</v>
      </c>
      <c r="H97" s="27">
        <v>194.69999694824219</v>
      </c>
      <c r="I97" s="33">
        <f t="shared" si="28"/>
        <v>-0.14432626046795272</v>
      </c>
      <c r="K97" s="34">
        <f t="shared" si="29"/>
        <v>9.9125464277882491E-2</v>
      </c>
      <c r="L97" s="34">
        <f t="shared" si="30"/>
        <v>0.25383414237963842</v>
      </c>
      <c r="M97" s="34">
        <f t="shared" si="31"/>
        <v>7.1730329848388896E-2</v>
      </c>
      <c r="N97" s="34">
        <f t="shared" si="32"/>
        <v>-0.14432626046795272</v>
      </c>
      <c r="P97" s="35">
        <f t="shared" si="21"/>
        <v>9.8590645871192636E-2</v>
      </c>
      <c r="Q97" s="35" t="str">
        <f t="shared" si="33"/>
        <v/>
      </c>
      <c r="S97" s="29">
        <f t="shared" si="34"/>
        <v>634.09563359502522</v>
      </c>
      <c r="T97" s="52">
        <f t="shared" si="35"/>
        <v>836.25772550055137</v>
      </c>
      <c r="U97" s="35">
        <f t="shared" si="22"/>
        <v>-0.2417461576029325</v>
      </c>
      <c r="W97" s="82">
        <v>5.3800000000000001E-2</v>
      </c>
      <c r="X97" s="34">
        <f t="shared" si="36"/>
        <v>9.8590645871192636E-2</v>
      </c>
      <c r="Y97" s="34">
        <f t="shared" si="37"/>
        <v>4.4790645871192636E-2</v>
      </c>
      <c r="AA97" s="35">
        <f t="shared" si="23"/>
        <v>5.3800000000000001E-2</v>
      </c>
      <c r="AB97" s="34">
        <f t="shared" si="24"/>
        <v>9.8590645871192636E-2</v>
      </c>
      <c r="AC97" s="35">
        <f t="shared" si="38"/>
        <v>6.435443135300857E-2</v>
      </c>
      <c r="AD97" s="34">
        <f t="shared" si="39"/>
        <v>3.4236214518184066E-2</v>
      </c>
    </row>
    <row r="98" spans="1:30" x14ac:dyDescent="0.2">
      <c r="A98" s="26">
        <v>44925</v>
      </c>
      <c r="B98" s="27">
        <v>239.82000732421875</v>
      </c>
      <c r="C98" s="33">
        <f t="shared" si="25"/>
        <v>-6.0045434279527021E-2</v>
      </c>
      <c r="D98" s="27">
        <v>146.13999938964844</v>
      </c>
      <c r="E98" s="33">
        <f t="shared" si="26"/>
        <v>-0.13644151108451019</v>
      </c>
      <c r="F98" s="27">
        <v>88.730003356933594</v>
      </c>
      <c r="G98" s="33">
        <f t="shared" si="27"/>
        <v>-0.12538190215814482</v>
      </c>
      <c r="H98" s="27">
        <v>123.18000030517578</v>
      </c>
      <c r="I98" s="33">
        <f t="shared" si="28"/>
        <v>-0.36733434907078522</v>
      </c>
      <c r="K98" s="34">
        <f t="shared" si="29"/>
        <v>-6.0045434279527021E-2</v>
      </c>
      <c r="L98" s="34">
        <f t="shared" si="30"/>
        <v>-0.13644151108451019</v>
      </c>
      <c r="M98" s="34">
        <f t="shared" si="31"/>
        <v>-0.12538190215814482</v>
      </c>
      <c r="N98" s="34">
        <f t="shared" si="32"/>
        <v>-0.36733434907078522</v>
      </c>
      <c r="P98" s="35">
        <f t="shared" si="21"/>
        <v>-6.0720491184438008E-2</v>
      </c>
      <c r="Q98" s="35">
        <f t="shared" si="33"/>
        <v>-6.0720491184438008E-2</v>
      </c>
      <c r="S98" s="29">
        <f t="shared" si="34"/>
        <v>595.59303526522785</v>
      </c>
      <c r="T98" s="52">
        <f t="shared" si="35"/>
        <v>836.25772550055137</v>
      </c>
      <c r="U98" s="35">
        <f t="shared" si="22"/>
        <v>-0.28778770335576986</v>
      </c>
      <c r="W98" s="82">
        <v>-5.8999999999999997E-2</v>
      </c>
      <c r="X98" s="34">
        <f t="shared" si="36"/>
        <v>-6.0720491184438008E-2</v>
      </c>
      <c r="Y98" s="34">
        <f t="shared" si="37"/>
        <v>-1.7204911844380111E-3</v>
      </c>
      <c r="AA98" s="35">
        <f t="shared" si="23"/>
        <v>-5.8999999999999997E-2</v>
      </c>
      <c r="AB98" s="34">
        <f t="shared" si="24"/>
        <v>-6.0720491184438008E-2</v>
      </c>
      <c r="AC98" s="35">
        <f t="shared" si="38"/>
        <v>-4.5498297415642659E-2</v>
      </c>
      <c r="AD98" s="34">
        <f t="shared" si="39"/>
        <v>-1.5222193768795349E-2</v>
      </c>
    </row>
    <row r="99" spans="1:30" x14ac:dyDescent="0.2">
      <c r="A99" s="26">
        <v>44957</v>
      </c>
      <c r="B99" s="27">
        <v>247.80999755859375</v>
      </c>
      <c r="C99" s="33">
        <f t="shared" si="25"/>
        <v>3.3316612419134639E-2</v>
      </c>
      <c r="D99" s="27">
        <v>195.3699951171875</v>
      </c>
      <c r="E99" s="33">
        <f t="shared" si="26"/>
        <v>0.33686872815893953</v>
      </c>
      <c r="F99" s="27">
        <v>99.870002746582031</v>
      </c>
      <c r="G99" s="33">
        <f t="shared" si="27"/>
        <v>0.12554940795883485</v>
      </c>
      <c r="H99" s="27">
        <v>173.22000122070312</v>
      </c>
      <c r="I99" s="33">
        <f t="shared" si="28"/>
        <v>0.40623478479910968</v>
      </c>
      <c r="K99" s="34">
        <f t="shared" si="29"/>
        <v>3.3316612419134639E-2</v>
      </c>
      <c r="L99" s="34">
        <f t="shared" si="30"/>
        <v>0.33686872815893953</v>
      </c>
      <c r="M99" s="34">
        <f t="shared" si="31"/>
        <v>0.12554940795883485</v>
      </c>
      <c r="N99" s="34">
        <f t="shared" si="32"/>
        <v>0.40623478479910968</v>
      </c>
      <c r="P99" s="35">
        <f t="shared" si="21"/>
        <v>3.4135844663170788E-2</v>
      </c>
      <c r="Q99" s="35" t="str">
        <f t="shared" si="33"/>
        <v/>
      </c>
      <c r="S99" s="29">
        <f t="shared" si="34"/>
        <v>615.92410659950804</v>
      </c>
      <c r="T99" s="52">
        <f t="shared" si="35"/>
        <v>836.25772550055137</v>
      </c>
      <c r="U99" s="35">
        <f t="shared" si="22"/>
        <v>-0.2634757350303224</v>
      </c>
      <c r="W99" s="82">
        <v>6.1800000000000001E-2</v>
      </c>
      <c r="X99" s="34">
        <f t="shared" si="36"/>
        <v>3.4135844663170788E-2</v>
      </c>
      <c r="Y99" s="34">
        <f t="shared" si="37"/>
        <v>-2.7664155336829213E-2</v>
      </c>
      <c r="AA99" s="35">
        <f t="shared" si="23"/>
        <v>6.1800000000000001E-2</v>
      </c>
      <c r="AB99" s="34">
        <f t="shared" si="24"/>
        <v>3.4135844663170788E-2</v>
      </c>
      <c r="AC99" s="35">
        <f t="shared" si="38"/>
        <v>7.2145405024544126E-2</v>
      </c>
      <c r="AD99" s="34">
        <f t="shared" si="39"/>
        <v>-3.8009560361373339E-2</v>
      </c>
    </row>
    <row r="100" spans="1:30" x14ac:dyDescent="0.2">
      <c r="A100" s="26">
        <v>44985</v>
      </c>
      <c r="B100" s="27">
        <v>249.41999816894531</v>
      </c>
      <c r="C100" s="33">
        <f t="shared" si="25"/>
        <v>6.4969154844969346E-3</v>
      </c>
      <c r="D100" s="27">
        <v>232.16000366210938</v>
      </c>
      <c r="E100" s="33">
        <f t="shared" si="26"/>
        <v>0.1883094101673819</v>
      </c>
      <c r="F100" s="27">
        <v>90.300003051757812</v>
      </c>
      <c r="G100" s="33">
        <f t="shared" si="27"/>
        <v>-9.5824566252470045E-2</v>
      </c>
      <c r="H100" s="27">
        <v>205.71000671386719</v>
      </c>
      <c r="I100" s="33">
        <f t="shared" si="28"/>
        <v>0.18756497670132144</v>
      </c>
      <c r="K100" s="34">
        <f t="shared" si="29"/>
        <v>6.4969154844969346E-3</v>
      </c>
      <c r="L100" s="34">
        <f t="shared" si="30"/>
        <v>0.1883094101673819</v>
      </c>
      <c r="M100" s="34">
        <f t="shared" si="31"/>
        <v>-9.5824566252470045E-2</v>
      </c>
      <c r="N100" s="34">
        <f t="shared" si="32"/>
        <v>0.18756497670132144</v>
      </c>
      <c r="P100" s="35">
        <f t="shared" ref="P100:P122" si="40">SUMPRODUCT(K100:N100,$K$124:$N$124)</f>
        <v>6.8946885218558827E-3</v>
      </c>
      <c r="Q100" s="35" t="str">
        <f t="shared" si="33"/>
        <v/>
      </c>
      <c r="S100" s="29">
        <f t="shared" si="34"/>
        <v>620.17071146761407</v>
      </c>
      <c r="T100" s="52">
        <f t="shared" si="35"/>
        <v>836.25772550055137</v>
      </c>
      <c r="U100" s="35">
        <f t="shared" si="22"/>
        <v>-0.25839762963456747</v>
      </c>
      <c r="W100" s="82">
        <v>-2.6100000000000002E-2</v>
      </c>
      <c r="X100" s="34">
        <f t="shared" si="36"/>
        <v>6.8946885218558827E-3</v>
      </c>
      <c r="Y100" s="34">
        <f t="shared" si="37"/>
        <v>3.2994688521855886E-2</v>
      </c>
      <c r="AA100" s="35">
        <f t="shared" si="23"/>
        <v>-2.6100000000000002E-2</v>
      </c>
      <c r="AB100" s="34">
        <f t="shared" si="24"/>
        <v>6.8946885218558827E-3</v>
      </c>
      <c r="AC100" s="35">
        <f t="shared" si="38"/>
        <v>-1.3457918191452719E-2</v>
      </c>
      <c r="AD100" s="34">
        <f t="shared" si="39"/>
        <v>2.0352606713308602E-2</v>
      </c>
    </row>
    <row r="101" spans="1:30" x14ac:dyDescent="0.2">
      <c r="A101" s="26">
        <v>45016</v>
      </c>
      <c r="B101" s="27">
        <v>288.29998779296875</v>
      </c>
      <c r="C101" s="33">
        <f t="shared" si="25"/>
        <v>0.15588160496131498</v>
      </c>
      <c r="D101" s="27">
        <v>277.76998901367188</v>
      </c>
      <c r="E101" s="33">
        <f t="shared" si="26"/>
        <v>0.1964592721920535</v>
      </c>
      <c r="F101" s="27">
        <v>104</v>
      </c>
      <c r="G101" s="33">
        <f t="shared" si="27"/>
        <v>0.15171646163056796</v>
      </c>
      <c r="H101" s="27">
        <v>207.46000671386719</v>
      </c>
      <c r="I101" s="33">
        <f t="shared" si="28"/>
        <v>8.5071213984946326E-3</v>
      </c>
      <c r="K101" s="34">
        <f t="shared" si="29"/>
        <v>0.15588160496131498</v>
      </c>
      <c r="L101" s="34">
        <f t="shared" si="30"/>
        <v>0.1964592721920535</v>
      </c>
      <c r="M101" s="34">
        <f t="shared" si="31"/>
        <v>0.15171646163056796</v>
      </c>
      <c r="N101" s="34">
        <f t="shared" si="32"/>
        <v>8.5071213984946326E-3</v>
      </c>
      <c r="P101" s="35">
        <f t="shared" si="40"/>
        <v>0.15555785048157955</v>
      </c>
      <c r="Q101" s="35" t="str">
        <f t="shared" si="33"/>
        <v/>
      </c>
      <c r="S101" s="29">
        <f t="shared" si="34"/>
        <v>716.64313427514799</v>
      </c>
      <c r="T101" s="52">
        <f t="shared" si="35"/>
        <v>836.25772550055137</v>
      </c>
      <c r="U101" s="35">
        <f t="shared" si="22"/>
        <v>-0.14303555898847664</v>
      </c>
      <c r="W101" s="82">
        <v>3.5099999999999999E-2</v>
      </c>
      <c r="X101" s="34">
        <f t="shared" si="36"/>
        <v>0.15555785048157955</v>
      </c>
      <c r="Y101" s="34">
        <f t="shared" si="37"/>
        <v>0.12045785048157956</v>
      </c>
      <c r="AA101" s="35">
        <f t="shared" si="23"/>
        <v>3.5099999999999999E-2</v>
      </c>
      <c r="AB101" s="34">
        <f t="shared" si="24"/>
        <v>0.15555785048157955</v>
      </c>
      <c r="AC101" s="35">
        <f t="shared" si="38"/>
        <v>4.6143030395794225E-2</v>
      </c>
      <c r="AD101" s="34">
        <f t="shared" si="39"/>
        <v>0.10941482008578532</v>
      </c>
    </row>
    <row r="102" spans="1:30" x14ac:dyDescent="0.2">
      <c r="A102" s="26">
        <v>45044</v>
      </c>
      <c r="B102" s="27">
        <v>307.260009765625</v>
      </c>
      <c r="C102" s="33">
        <f t="shared" si="25"/>
        <v>6.5764907302984899E-2</v>
      </c>
      <c r="D102" s="27">
        <v>277.489990234375</v>
      </c>
      <c r="E102" s="33">
        <f t="shared" si="26"/>
        <v>-1.0080238700052035E-3</v>
      </c>
      <c r="F102" s="27">
        <v>108.22000122070312</v>
      </c>
      <c r="G102" s="33">
        <f t="shared" si="27"/>
        <v>4.0576934814453125E-2</v>
      </c>
      <c r="H102" s="27">
        <v>164.30999755859375</v>
      </c>
      <c r="I102" s="33">
        <f t="shared" si="28"/>
        <v>-0.20799193945263272</v>
      </c>
      <c r="K102" s="34">
        <f t="shared" si="29"/>
        <v>6.5764907302984899E-2</v>
      </c>
      <c r="L102" s="34">
        <f t="shared" si="30"/>
        <v>-1.0080238700052035E-3</v>
      </c>
      <c r="M102" s="34">
        <f t="shared" si="31"/>
        <v>4.0576934814453125E-2</v>
      </c>
      <c r="N102" s="34">
        <f t="shared" si="32"/>
        <v>-0.20799193945263272</v>
      </c>
      <c r="P102" s="35">
        <f t="shared" si="40"/>
        <v>6.5163514148941129E-2</v>
      </c>
      <c r="Q102" s="35" t="str">
        <f t="shared" si="33"/>
        <v/>
      </c>
      <c r="S102" s="29">
        <f t="shared" si="34"/>
        <v>763.34211929522803</v>
      </c>
      <c r="T102" s="52">
        <f t="shared" si="35"/>
        <v>836.25772550055137</v>
      </c>
      <c r="U102" s="35">
        <f t="shared" si="22"/>
        <v>-8.7192744511482845E-2</v>
      </c>
      <c r="W102" s="82">
        <v>1.46E-2</v>
      </c>
      <c r="X102" s="34">
        <f t="shared" si="36"/>
        <v>6.5163514148941129E-2</v>
      </c>
      <c r="Y102" s="34">
        <f t="shared" si="37"/>
        <v>5.0563514148941127E-2</v>
      </c>
      <c r="AA102" s="35">
        <f t="shared" si="23"/>
        <v>1.46E-2</v>
      </c>
      <c r="AB102" s="34">
        <f t="shared" si="24"/>
        <v>6.5163514148941129E-2</v>
      </c>
      <c r="AC102" s="35">
        <f t="shared" si="38"/>
        <v>2.6178660362484382E-2</v>
      </c>
      <c r="AD102" s="34">
        <f t="shared" si="39"/>
        <v>3.8984853786456747E-2</v>
      </c>
    </row>
    <row r="103" spans="1:30" x14ac:dyDescent="0.2">
      <c r="A103" s="26">
        <v>45077</v>
      </c>
      <c r="B103" s="27">
        <v>328.3900146484375</v>
      </c>
      <c r="C103" s="33">
        <f t="shared" si="25"/>
        <v>6.8769134320246339E-2</v>
      </c>
      <c r="D103" s="27">
        <v>378.33999633789062</v>
      </c>
      <c r="E103" s="33">
        <f t="shared" si="26"/>
        <v>0.36343655502072414</v>
      </c>
      <c r="F103" s="27">
        <v>123.37000274658203</v>
      </c>
      <c r="G103" s="33">
        <f t="shared" si="27"/>
        <v>0.13999262017177494</v>
      </c>
      <c r="H103" s="27">
        <v>203.92999267578125</v>
      </c>
      <c r="I103" s="33">
        <f t="shared" si="28"/>
        <v>0.2411295460159617</v>
      </c>
      <c r="K103" s="34">
        <f t="shared" si="29"/>
        <v>6.8769134320246339E-2</v>
      </c>
      <c r="L103" s="34">
        <f t="shared" si="30"/>
        <v>0.36343655502072414</v>
      </c>
      <c r="M103" s="34">
        <f t="shared" si="31"/>
        <v>0.13999262017177494</v>
      </c>
      <c r="N103" s="34">
        <f t="shared" si="32"/>
        <v>0.2411295460159617</v>
      </c>
      <c r="P103" s="35">
        <f t="shared" si="40"/>
        <v>6.9147778262308307E-2</v>
      </c>
      <c r="Q103" s="35" t="str">
        <f t="shared" si="33"/>
        <v/>
      </c>
      <c r="S103" s="29">
        <f t="shared" si="34"/>
        <v>816.12553089853486</v>
      </c>
      <c r="T103" s="52">
        <f t="shared" si="35"/>
        <v>836.25772550055137</v>
      </c>
      <c r="U103" s="35">
        <f t="shared" si="22"/>
        <v>-2.4074150812736783E-2</v>
      </c>
      <c r="W103" s="82">
        <v>2.5000000000000001E-3</v>
      </c>
      <c r="X103" s="34">
        <f t="shared" si="36"/>
        <v>6.9147778262308307E-2</v>
      </c>
      <c r="Y103" s="34">
        <f t="shared" si="37"/>
        <v>6.6647778262308305E-2</v>
      </c>
      <c r="AA103" s="35">
        <f t="shared" si="23"/>
        <v>2.5000000000000001E-3</v>
      </c>
      <c r="AB103" s="34">
        <f t="shared" si="24"/>
        <v>6.9147778262308307E-2</v>
      </c>
      <c r="AC103" s="35">
        <f t="shared" si="38"/>
        <v>1.4394812684286868E-2</v>
      </c>
      <c r="AD103" s="34">
        <f t="shared" si="39"/>
        <v>5.4752965578021437E-2</v>
      </c>
    </row>
    <row r="104" spans="1:30" x14ac:dyDescent="0.2">
      <c r="A104" s="26">
        <v>45107</v>
      </c>
      <c r="B104" s="27">
        <v>340.54000854492188</v>
      </c>
      <c r="C104" s="33">
        <f t="shared" si="25"/>
        <v>3.6998670344747575E-2</v>
      </c>
      <c r="D104" s="27">
        <v>423.01998901367188</v>
      </c>
      <c r="E104" s="33">
        <f t="shared" si="26"/>
        <v>0.11809481711755931</v>
      </c>
      <c r="F104" s="27">
        <v>120.97000122070312</v>
      </c>
      <c r="G104" s="33">
        <f t="shared" si="27"/>
        <v>-1.945368786939905E-2</v>
      </c>
      <c r="H104" s="27">
        <v>261.76998901367188</v>
      </c>
      <c r="I104" s="33">
        <f t="shared" si="28"/>
        <v>0.28362672689273194</v>
      </c>
      <c r="K104" s="34">
        <f t="shared" si="29"/>
        <v>3.6998670344747575E-2</v>
      </c>
      <c r="L104" s="34">
        <f t="shared" si="30"/>
        <v>0.11809481711755931</v>
      </c>
      <c r="M104" s="34">
        <f t="shared" si="31"/>
        <v>-1.945368786939905E-2</v>
      </c>
      <c r="N104" s="34">
        <f t="shared" si="32"/>
        <v>0.28362672689273194</v>
      </c>
      <c r="P104" s="35">
        <f t="shared" si="40"/>
        <v>3.7540466564863706E-2</v>
      </c>
      <c r="Q104" s="35" t="str">
        <f t="shared" si="33"/>
        <v/>
      </c>
      <c r="S104" s="29">
        <f t="shared" si="34"/>
        <v>846.76326410396302</v>
      </c>
      <c r="T104" s="52">
        <f t="shared" si="35"/>
        <v>846.76326410396302</v>
      </c>
      <c r="U104" s="35">
        <f t="shared" si="22"/>
        <v>0</v>
      </c>
      <c r="W104" s="82">
        <v>6.4699999999999994E-2</v>
      </c>
      <c r="X104" s="34">
        <f t="shared" si="36"/>
        <v>3.7540466564863706E-2</v>
      </c>
      <c r="Y104" s="34">
        <f t="shared" si="37"/>
        <v>-2.7159533435136288E-2</v>
      </c>
      <c r="AA104" s="35">
        <f t="shared" si="23"/>
        <v>6.4699999999999994E-2</v>
      </c>
      <c r="AB104" s="34">
        <f t="shared" si="24"/>
        <v>3.7540466564863706E-2</v>
      </c>
      <c r="AC104" s="35">
        <f t="shared" si="38"/>
        <v>7.4969632980475751E-2</v>
      </c>
      <c r="AD104" s="34">
        <f t="shared" si="39"/>
        <v>-3.7429166415612045E-2</v>
      </c>
    </row>
    <row r="105" spans="1:30" x14ac:dyDescent="0.2">
      <c r="A105" s="26">
        <v>45138</v>
      </c>
      <c r="B105" s="27">
        <v>335.92001342773438</v>
      </c>
      <c r="C105" s="33">
        <f t="shared" si="25"/>
        <v>-1.3566673522233286E-2</v>
      </c>
      <c r="D105" s="27">
        <v>467.29000854492188</v>
      </c>
      <c r="E105" s="33">
        <f t="shared" si="26"/>
        <v>0.10465231119331153</v>
      </c>
      <c r="F105" s="27">
        <v>133.11000061035156</v>
      </c>
      <c r="G105" s="33">
        <f t="shared" si="27"/>
        <v>0.10035545397325141</v>
      </c>
      <c r="H105" s="27">
        <v>267.42999267578125</v>
      </c>
      <c r="I105" s="33">
        <f t="shared" si="28"/>
        <v>2.1622049507798113E-2</v>
      </c>
      <c r="K105" s="34">
        <f t="shared" si="29"/>
        <v>-1.3566673522233286E-2</v>
      </c>
      <c r="L105" s="34">
        <f t="shared" si="30"/>
        <v>0.10465231119331153</v>
      </c>
      <c r="M105" s="34">
        <f t="shared" si="31"/>
        <v>0.10035545397325141</v>
      </c>
      <c r="N105" s="34">
        <f t="shared" si="32"/>
        <v>2.1622049507798113E-2</v>
      </c>
      <c r="P105" s="35">
        <f t="shared" si="40"/>
        <v>-1.3489370406783928E-2</v>
      </c>
      <c r="Q105" s="35">
        <f t="shared" si="33"/>
        <v>-1.3489370406783928E-2</v>
      </c>
      <c r="S105" s="29">
        <f t="shared" si="34"/>
        <v>835.34096078760729</v>
      </c>
      <c r="T105" s="52">
        <f t="shared" si="35"/>
        <v>846.76326410396302</v>
      </c>
      <c r="U105" s="35">
        <f t="shared" si="22"/>
        <v>-1.3489370406783885E-2</v>
      </c>
      <c r="W105" s="82">
        <v>3.1099999999999999E-2</v>
      </c>
      <c r="X105" s="34">
        <f t="shared" si="36"/>
        <v>-1.3489370406783928E-2</v>
      </c>
      <c r="Y105" s="34">
        <f t="shared" si="37"/>
        <v>-4.4589370406783929E-2</v>
      </c>
      <c r="AA105" s="35">
        <f t="shared" si="23"/>
        <v>3.1099999999999999E-2</v>
      </c>
      <c r="AB105" s="34">
        <f t="shared" si="24"/>
        <v>-1.3489370406783928E-2</v>
      </c>
      <c r="AC105" s="35">
        <f t="shared" si="38"/>
        <v>4.2247543560026454E-2</v>
      </c>
      <c r="AD105" s="34">
        <f t="shared" si="39"/>
        <v>-5.5736913966810381E-2</v>
      </c>
    </row>
    <row r="106" spans="1:30" x14ac:dyDescent="0.2">
      <c r="A106" s="26">
        <v>45169</v>
      </c>
      <c r="B106" s="27">
        <v>327.760009765625</v>
      </c>
      <c r="C106" s="33">
        <f t="shared" si="25"/>
        <v>-2.4291507906434417E-2</v>
      </c>
      <c r="D106" s="27">
        <v>493.54998779296875</v>
      </c>
      <c r="E106" s="33">
        <f t="shared" si="26"/>
        <v>5.6196320845414371E-2</v>
      </c>
      <c r="F106" s="27">
        <v>137.35000610351562</v>
      </c>
      <c r="G106" s="33">
        <f t="shared" si="27"/>
        <v>3.1853395490363479E-2</v>
      </c>
      <c r="H106" s="27">
        <v>258.07998657226562</v>
      </c>
      <c r="I106" s="33">
        <f t="shared" si="28"/>
        <v>-3.4962443852926794E-2</v>
      </c>
      <c r="K106" s="34">
        <f t="shared" si="29"/>
        <v>-2.4291507906434417E-2</v>
      </c>
      <c r="L106" s="34">
        <f t="shared" si="30"/>
        <v>5.6196320845414371E-2</v>
      </c>
      <c r="M106" s="34">
        <f t="shared" si="31"/>
        <v>3.1853395490363479E-2</v>
      </c>
      <c r="N106" s="34">
        <f t="shared" si="32"/>
        <v>-3.4962443852926794E-2</v>
      </c>
      <c r="P106" s="35">
        <f t="shared" si="40"/>
        <v>-2.4314949978848397E-2</v>
      </c>
      <c r="Q106" s="35">
        <f t="shared" si="33"/>
        <v>-2.4314949978848397E-2</v>
      </c>
      <c r="S106" s="29">
        <f t="shared" si="34"/>
        <v>815.02968711077347</v>
      </c>
      <c r="T106" s="52">
        <f t="shared" si="35"/>
        <v>846.76326410396302</v>
      </c>
      <c r="U106" s="35">
        <f t="shared" si="22"/>
        <v>-3.747632701894521E-2</v>
      </c>
      <c r="W106" s="82">
        <v>-1.77E-2</v>
      </c>
      <c r="X106" s="34">
        <f t="shared" si="36"/>
        <v>-2.4314949978848397E-2</v>
      </c>
      <c r="Y106" s="34">
        <f t="shared" si="37"/>
        <v>-6.6149499788483966E-3</v>
      </c>
      <c r="AA106" s="35">
        <f t="shared" si="23"/>
        <v>-1.77E-2</v>
      </c>
      <c r="AB106" s="34">
        <f t="shared" si="24"/>
        <v>-2.4314949978848397E-2</v>
      </c>
      <c r="AC106" s="35">
        <f t="shared" si="38"/>
        <v>-5.2773958363403917E-3</v>
      </c>
      <c r="AD106" s="34">
        <f t="shared" si="39"/>
        <v>-1.9037554142508004E-2</v>
      </c>
    </row>
    <row r="107" spans="1:30" x14ac:dyDescent="0.2">
      <c r="A107" s="26">
        <v>45198</v>
      </c>
      <c r="B107" s="27">
        <v>315.75</v>
      </c>
      <c r="C107" s="33">
        <f t="shared" si="25"/>
        <v>-3.664269406817855E-2</v>
      </c>
      <c r="D107" s="27">
        <v>434.989990234375</v>
      </c>
      <c r="E107" s="33">
        <f t="shared" si="26"/>
        <v>-0.11865059063309735</v>
      </c>
      <c r="F107" s="27">
        <v>131.85000610351562</v>
      </c>
      <c r="G107" s="33">
        <f t="shared" si="27"/>
        <v>-4.0043682239481293E-2</v>
      </c>
      <c r="H107" s="27">
        <v>250.22000122070312</v>
      </c>
      <c r="I107" s="33">
        <f t="shared" si="28"/>
        <v>-3.0455617484936637E-2</v>
      </c>
      <c r="K107" s="34">
        <f t="shared" si="29"/>
        <v>-3.664269406817855E-2</v>
      </c>
      <c r="L107" s="34">
        <f t="shared" si="30"/>
        <v>-0.11865059063309735</v>
      </c>
      <c r="M107" s="34">
        <f t="shared" si="31"/>
        <v>-4.0043682239481293E-2</v>
      </c>
      <c r="N107" s="34">
        <f t="shared" si="32"/>
        <v>-3.0455617484936637E-2</v>
      </c>
      <c r="P107" s="35">
        <f t="shared" si="40"/>
        <v>-3.6629102205382083E-2</v>
      </c>
      <c r="Q107" s="35">
        <f t="shared" si="33"/>
        <v>-3.6629102205382083E-2</v>
      </c>
      <c r="S107" s="29">
        <f t="shared" si="34"/>
        <v>785.17588140117243</v>
      </c>
      <c r="T107" s="52">
        <f t="shared" si="35"/>
        <v>846.76326410396302</v>
      </c>
      <c r="U107" s="35">
        <f t="shared" si="22"/>
        <v>-7.2732705011667953E-2</v>
      </c>
      <c r="W107" s="82">
        <v>-4.87E-2</v>
      </c>
      <c r="X107" s="34">
        <f t="shared" si="36"/>
        <v>-3.6629102205382083E-2</v>
      </c>
      <c r="Y107" s="34">
        <f t="shared" si="37"/>
        <v>1.2070897794617917E-2</v>
      </c>
      <c r="AA107" s="35">
        <f t="shared" si="23"/>
        <v>-4.87E-2</v>
      </c>
      <c r="AB107" s="34">
        <f t="shared" si="24"/>
        <v>-3.6629102205382083E-2</v>
      </c>
      <c r="AC107" s="35">
        <f t="shared" si="38"/>
        <v>-3.5467418813540645E-2</v>
      </c>
      <c r="AD107" s="34">
        <f t="shared" si="39"/>
        <v>-1.1616833918414379E-3</v>
      </c>
    </row>
    <row r="108" spans="1:30" x14ac:dyDescent="0.2">
      <c r="A108" s="26">
        <v>45230</v>
      </c>
      <c r="B108" s="27">
        <v>338.1099853515625</v>
      </c>
      <c r="C108" s="33">
        <f t="shared" si="25"/>
        <v>7.0815472213974662E-2</v>
      </c>
      <c r="D108" s="27">
        <v>407.79998779296875</v>
      </c>
      <c r="E108" s="33">
        <f t="shared" si="26"/>
        <v>-6.2507191089055003E-2</v>
      </c>
      <c r="F108" s="27">
        <v>125.30000305175781</v>
      </c>
      <c r="G108" s="33">
        <f t="shared" si="27"/>
        <v>-4.9677684858166704E-2</v>
      </c>
      <c r="H108" s="27">
        <v>200.83999633789062</v>
      </c>
      <c r="I108" s="33">
        <f t="shared" si="28"/>
        <v>-0.19734635377632159</v>
      </c>
      <c r="K108" s="34">
        <f t="shared" si="29"/>
        <v>7.0815472213974662E-2</v>
      </c>
      <c r="L108" s="34">
        <f t="shared" si="30"/>
        <v>-6.2507191089055003E-2</v>
      </c>
      <c r="M108" s="34">
        <f t="shared" si="31"/>
        <v>-4.9677684858166704E-2</v>
      </c>
      <c r="N108" s="34">
        <f t="shared" si="32"/>
        <v>-0.19734635377632159</v>
      </c>
      <c r="P108" s="35">
        <f t="shared" si="40"/>
        <v>7.0226370285611184E-2</v>
      </c>
      <c r="Q108" s="35" t="str">
        <f t="shared" si="33"/>
        <v/>
      </c>
      <c r="S108" s="29">
        <f t="shared" si="34"/>
        <v>840.3159335877823</v>
      </c>
      <c r="T108" s="52">
        <f t="shared" si="35"/>
        <v>846.76326410396302</v>
      </c>
      <c r="U108" s="35">
        <f t="shared" si="22"/>
        <v>-7.6140886000802821E-3</v>
      </c>
      <c r="W108" s="82">
        <v>-2.1999999999999999E-2</v>
      </c>
      <c r="X108" s="34">
        <f t="shared" si="36"/>
        <v>7.0226370285611184E-2</v>
      </c>
      <c r="Y108" s="34">
        <f t="shared" si="37"/>
        <v>9.2226370285611176E-2</v>
      </c>
      <c r="AA108" s="35">
        <f t="shared" si="23"/>
        <v>-2.1999999999999999E-2</v>
      </c>
      <c r="AB108" s="34">
        <f t="shared" si="24"/>
        <v>7.0226370285611184E-2</v>
      </c>
      <c r="AC108" s="35">
        <f t="shared" si="38"/>
        <v>-9.4650441847907458E-3</v>
      </c>
      <c r="AD108" s="34">
        <f t="shared" si="39"/>
        <v>7.9691414470401928E-2</v>
      </c>
    </row>
    <row r="109" spans="1:30" x14ac:dyDescent="0.2">
      <c r="A109" s="26">
        <v>45260</v>
      </c>
      <c r="B109" s="27">
        <v>378.91000366210938</v>
      </c>
      <c r="C109" s="33">
        <f t="shared" si="25"/>
        <v>0.1206708469970903</v>
      </c>
      <c r="D109" s="27">
        <v>467.70001220703125</v>
      </c>
      <c r="E109" s="33">
        <f t="shared" si="26"/>
        <v>0.14688579256278067</v>
      </c>
      <c r="F109" s="27">
        <v>133.91999816894531</v>
      </c>
      <c r="G109" s="33">
        <f t="shared" si="27"/>
        <v>6.8794851614064401E-2</v>
      </c>
      <c r="H109" s="27">
        <v>240.08000183105469</v>
      </c>
      <c r="I109" s="33">
        <f t="shared" si="28"/>
        <v>0.19537943740621855</v>
      </c>
      <c r="K109" s="34">
        <f t="shared" si="29"/>
        <v>0.1206708469970903</v>
      </c>
      <c r="L109" s="34">
        <f t="shared" si="30"/>
        <v>0.14688579256278067</v>
      </c>
      <c r="M109" s="34">
        <f t="shared" si="31"/>
        <v>6.8794851614064401E-2</v>
      </c>
      <c r="N109" s="34">
        <f t="shared" si="32"/>
        <v>0.19537943740621855</v>
      </c>
      <c r="P109" s="35">
        <f t="shared" si="40"/>
        <v>0.12083496795096897</v>
      </c>
      <c r="Q109" s="35" t="str">
        <f t="shared" si="33"/>
        <v/>
      </c>
      <c r="S109" s="29">
        <f t="shared" si="34"/>
        <v>941.85548249155056</v>
      </c>
      <c r="T109" s="52">
        <f t="shared" si="35"/>
        <v>941.85548249155056</v>
      </c>
      <c r="U109" s="35">
        <f t="shared" si="22"/>
        <v>0</v>
      </c>
      <c r="W109" s="82">
        <v>8.9200000000000002E-2</v>
      </c>
      <c r="X109" s="34">
        <f t="shared" si="36"/>
        <v>0.12083496795096897</v>
      </c>
      <c r="Y109" s="34">
        <f t="shared" si="37"/>
        <v>3.163496795096897E-2</v>
      </c>
      <c r="AA109" s="35">
        <f t="shared" si="23"/>
        <v>8.9200000000000002E-2</v>
      </c>
      <c r="AB109" s="34">
        <f t="shared" si="24"/>
        <v>0.12083496795096897</v>
      </c>
      <c r="AC109" s="35">
        <f t="shared" si="38"/>
        <v>9.8829489849553379E-2</v>
      </c>
      <c r="AD109" s="34">
        <f t="shared" si="39"/>
        <v>2.2005478101415593E-2</v>
      </c>
    </row>
    <row r="110" spans="1:30" x14ac:dyDescent="0.2">
      <c r="A110" s="26">
        <v>45289</v>
      </c>
      <c r="B110" s="27">
        <v>376.04000854492188</v>
      </c>
      <c r="C110" s="33">
        <f t="shared" si="25"/>
        <v>-7.5743450672968171E-3</v>
      </c>
      <c r="D110" s="27">
        <v>495.22000122070312</v>
      </c>
      <c r="E110" s="33">
        <f t="shared" si="26"/>
        <v>5.8841112455412903E-2</v>
      </c>
      <c r="F110" s="27">
        <v>140.92999267578125</v>
      </c>
      <c r="G110" s="33">
        <f t="shared" si="27"/>
        <v>5.2344643090515452E-2</v>
      </c>
      <c r="H110" s="27">
        <v>248.47999572753906</v>
      </c>
      <c r="I110" s="33">
        <f t="shared" si="28"/>
        <v>3.4988311531234828E-2</v>
      </c>
      <c r="K110" s="34">
        <f t="shared" si="29"/>
        <v>-7.5743450672968171E-3</v>
      </c>
      <c r="L110" s="34">
        <f t="shared" si="30"/>
        <v>5.8841112455412903E-2</v>
      </c>
      <c r="M110" s="34">
        <f t="shared" si="31"/>
        <v>5.2344643090515452E-2</v>
      </c>
      <c r="N110" s="34">
        <f t="shared" si="32"/>
        <v>3.4988311531234828E-2</v>
      </c>
      <c r="P110" s="35">
        <f t="shared" si="40"/>
        <v>-7.4808427837936625E-3</v>
      </c>
      <c r="Q110" s="35">
        <f t="shared" si="33"/>
        <v>-7.4808427837936625E-3</v>
      </c>
      <c r="S110" s="29">
        <f t="shared" si="34"/>
        <v>934.80960970197714</v>
      </c>
      <c r="T110" s="52">
        <f t="shared" si="35"/>
        <v>941.85548249155056</v>
      </c>
      <c r="U110" s="35">
        <f t="shared" si="22"/>
        <v>-7.4808427837936842E-3</v>
      </c>
      <c r="W110" s="82">
        <v>4.4200000000000003E-2</v>
      </c>
      <c r="X110" s="34">
        <f t="shared" si="36"/>
        <v>-7.4808427837936625E-3</v>
      </c>
      <c r="Y110" s="34">
        <f t="shared" si="37"/>
        <v>-5.1680842783793667E-2</v>
      </c>
      <c r="AA110" s="35">
        <f t="shared" si="23"/>
        <v>4.4200000000000003E-2</v>
      </c>
      <c r="AB110" s="34">
        <f t="shared" si="24"/>
        <v>-7.4808427837936625E-3</v>
      </c>
      <c r="AC110" s="35">
        <f t="shared" si="38"/>
        <v>5.5005262947165914E-2</v>
      </c>
      <c r="AD110" s="34">
        <f t="shared" si="39"/>
        <v>-6.2486105730959578E-2</v>
      </c>
    </row>
    <row r="111" spans="1:30" x14ac:dyDescent="0.2">
      <c r="A111" s="26">
        <v>45322</v>
      </c>
      <c r="B111" s="27">
        <v>397.57998657226562</v>
      </c>
      <c r="C111" s="33">
        <f t="shared" si="25"/>
        <v>5.7281080570900311E-2</v>
      </c>
      <c r="D111" s="27">
        <v>615.27001953125</v>
      </c>
      <c r="E111" s="33">
        <f t="shared" si="26"/>
        <v>0.24241754778608904</v>
      </c>
      <c r="F111" s="27">
        <v>141.80000305175781</v>
      </c>
      <c r="G111" s="33">
        <f t="shared" si="27"/>
        <v>6.1733514595299077E-3</v>
      </c>
      <c r="H111" s="27">
        <v>187.28999328613281</v>
      </c>
      <c r="I111" s="33">
        <f t="shared" si="28"/>
        <v>-0.24625725810339172</v>
      </c>
      <c r="K111" s="34">
        <f t="shared" si="29"/>
        <v>5.7281080570900311E-2</v>
      </c>
      <c r="L111" s="34">
        <f t="shared" si="30"/>
        <v>0.24241754778608904</v>
      </c>
      <c r="M111" s="34">
        <f t="shared" si="31"/>
        <v>6.1733514595299077E-3</v>
      </c>
      <c r="N111" s="34">
        <f t="shared" si="32"/>
        <v>-0.24625725810339172</v>
      </c>
      <c r="P111" s="35">
        <f t="shared" si="40"/>
        <v>5.6614262987954161E-2</v>
      </c>
      <c r="Q111" s="35" t="str">
        <f t="shared" si="33"/>
        <v/>
      </c>
      <c r="S111" s="29">
        <f t="shared" si="34"/>
        <v>987.73316678931178</v>
      </c>
      <c r="T111" s="52">
        <f t="shared" si="35"/>
        <v>987.73316678931178</v>
      </c>
      <c r="U111" s="35">
        <f t="shared" si="22"/>
        <v>0</v>
      </c>
      <c r="W111" s="82">
        <v>1.5900000000000001E-2</v>
      </c>
      <c r="X111" s="34">
        <f t="shared" si="36"/>
        <v>5.6614262987954161E-2</v>
      </c>
      <c r="Y111" s="34">
        <f t="shared" si="37"/>
        <v>4.0714262987954164E-2</v>
      </c>
      <c r="AA111" s="35">
        <f t="shared" si="23"/>
        <v>1.5900000000000001E-2</v>
      </c>
      <c r="AB111" s="34">
        <f t="shared" si="24"/>
        <v>5.6614262987954161E-2</v>
      </c>
      <c r="AC111" s="35">
        <f t="shared" si="38"/>
        <v>2.7444693584108913E-2</v>
      </c>
      <c r="AD111" s="34">
        <f t="shared" si="39"/>
        <v>2.9169569403845248E-2</v>
      </c>
    </row>
    <row r="112" spans="1:30" x14ac:dyDescent="0.2">
      <c r="A112" s="26">
        <v>45351</v>
      </c>
      <c r="B112" s="27">
        <v>413.6400146484375</v>
      </c>
      <c r="C112" s="33">
        <f t="shared" si="25"/>
        <v>4.0394458017450452E-2</v>
      </c>
      <c r="D112" s="27">
        <v>791.1199951171875</v>
      </c>
      <c r="E112" s="33">
        <f t="shared" si="26"/>
        <v>0.28580943326299346</v>
      </c>
      <c r="F112" s="27">
        <v>139.77999877929688</v>
      </c>
      <c r="G112" s="33">
        <f t="shared" si="27"/>
        <v>-1.4245445902590137E-2</v>
      </c>
      <c r="H112" s="27">
        <v>201.8800048828125</v>
      </c>
      <c r="I112" s="33">
        <f t="shared" si="28"/>
        <v>7.7900646696002385E-2</v>
      </c>
      <c r="K112" s="34">
        <f t="shared" si="29"/>
        <v>4.0394458017450452E-2</v>
      </c>
      <c r="L112" s="34">
        <f t="shared" si="30"/>
        <v>0.28580943326299346</v>
      </c>
      <c r="M112" s="34">
        <f t="shared" si="31"/>
        <v>-1.4245445902590137E-2</v>
      </c>
      <c r="N112" s="34">
        <f t="shared" si="32"/>
        <v>7.7900646696002385E-2</v>
      </c>
      <c r="P112" s="35">
        <f t="shared" si="40"/>
        <v>4.0476852176255566E-2</v>
      </c>
      <c r="Q112" s="35" t="str">
        <f t="shared" si="33"/>
        <v/>
      </c>
      <c r="S112" s="29">
        <f t="shared" si="34"/>
        <v>1027.7134961710276</v>
      </c>
      <c r="T112" s="52">
        <f t="shared" si="35"/>
        <v>1027.7134961710276</v>
      </c>
      <c r="U112" s="35">
        <f t="shared" si="22"/>
        <v>0</v>
      </c>
      <c r="W112" s="82">
        <v>5.1700000000000003E-2</v>
      </c>
      <c r="X112" s="34">
        <f t="shared" si="36"/>
        <v>4.0476852176255566E-2</v>
      </c>
      <c r="Y112" s="34">
        <f t="shared" si="37"/>
        <v>-1.1223147823744437E-2</v>
      </c>
      <c r="AA112" s="35">
        <f t="shared" si="23"/>
        <v>5.1700000000000003E-2</v>
      </c>
      <c r="AB112" s="34">
        <f t="shared" si="24"/>
        <v>4.0476852176255566E-2</v>
      </c>
      <c r="AC112" s="35">
        <f t="shared" si="38"/>
        <v>6.2309300764230489E-2</v>
      </c>
      <c r="AD112" s="34">
        <f t="shared" si="39"/>
        <v>-2.1832448587974923E-2</v>
      </c>
    </row>
    <row r="113" spans="1:30" x14ac:dyDescent="0.2">
      <c r="A113" s="26">
        <v>45379</v>
      </c>
      <c r="B113" s="27">
        <v>420.72000122070312</v>
      </c>
      <c r="C113" s="33">
        <f t="shared" si="25"/>
        <v>1.711629997470876E-2</v>
      </c>
      <c r="D113" s="27">
        <v>903.55999755859375</v>
      </c>
      <c r="E113" s="33">
        <f t="shared" si="26"/>
        <v>0.14212762050686223</v>
      </c>
      <c r="F113" s="27">
        <v>152.25999450683594</v>
      </c>
      <c r="G113" s="33">
        <f t="shared" si="27"/>
        <v>8.9283129464353017E-2</v>
      </c>
      <c r="H113" s="27">
        <v>175.78999328613281</v>
      </c>
      <c r="I113" s="33">
        <f t="shared" si="28"/>
        <v>-0.12923524353897475</v>
      </c>
      <c r="K113" s="34">
        <f t="shared" si="29"/>
        <v>1.711629997470876E-2</v>
      </c>
      <c r="L113" s="34">
        <f t="shared" si="30"/>
        <v>0.14212762050686223</v>
      </c>
      <c r="M113" s="34">
        <f t="shared" si="31"/>
        <v>8.9283129464353017E-2</v>
      </c>
      <c r="N113" s="34">
        <f t="shared" si="32"/>
        <v>-0.12923524353897475</v>
      </c>
      <c r="P113" s="35">
        <f t="shared" si="40"/>
        <v>1.6794792705042395E-2</v>
      </c>
      <c r="Q113" s="35" t="str">
        <f t="shared" si="33"/>
        <v/>
      </c>
      <c r="S113" s="29">
        <f t="shared" si="34"/>
        <v>1044.9737312993946</v>
      </c>
      <c r="T113" s="52">
        <f t="shared" si="35"/>
        <v>1044.9737312993946</v>
      </c>
      <c r="U113" s="35">
        <f t="shared" si="22"/>
        <v>0</v>
      </c>
      <c r="W113" s="82">
        <v>3.1E-2</v>
      </c>
      <c r="X113" s="34">
        <f t="shared" si="36"/>
        <v>1.6794792705042395E-2</v>
      </c>
      <c r="Y113" s="34">
        <f t="shared" si="37"/>
        <v>-1.4205207294957604E-2</v>
      </c>
      <c r="AA113" s="35">
        <f t="shared" si="23"/>
        <v>3.1E-2</v>
      </c>
      <c r="AB113" s="34">
        <f t="shared" si="24"/>
        <v>1.6794792705042395E-2</v>
      </c>
      <c r="AC113" s="35">
        <f t="shared" si="38"/>
        <v>4.2150156389132255E-2</v>
      </c>
      <c r="AD113" s="34">
        <f t="shared" si="39"/>
        <v>-2.535536368408986E-2</v>
      </c>
    </row>
    <row r="114" spans="1:30" x14ac:dyDescent="0.2">
      <c r="A114" s="26">
        <v>45412</v>
      </c>
      <c r="B114" s="27">
        <v>389.32998657226562</v>
      </c>
      <c r="C114" s="33">
        <f t="shared" si="25"/>
        <v>-7.4610226652787048E-2</v>
      </c>
      <c r="D114" s="27">
        <v>864.02001953125</v>
      </c>
      <c r="E114" s="33">
        <f t="shared" si="26"/>
        <v>-4.3760213084001243E-2</v>
      </c>
      <c r="F114" s="27">
        <v>164.63999938964844</v>
      </c>
      <c r="G114" s="33">
        <f t="shared" si="27"/>
        <v>8.1308323456275255E-2</v>
      </c>
      <c r="H114" s="27">
        <v>183.27999877929688</v>
      </c>
      <c r="I114" s="33">
        <f t="shared" si="28"/>
        <v>4.2607689739043275E-2</v>
      </c>
      <c r="K114" s="34">
        <f t="shared" si="29"/>
        <v>-7.4610226652787048E-2</v>
      </c>
      <c r="L114" s="34">
        <f t="shared" si="30"/>
        <v>-4.3760213084001243E-2</v>
      </c>
      <c r="M114" s="34">
        <f t="shared" si="31"/>
        <v>8.1308323456275255E-2</v>
      </c>
      <c r="N114" s="34">
        <f t="shared" si="32"/>
        <v>4.2607689739043275E-2</v>
      </c>
      <c r="P114" s="35">
        <f t="shared" si="40"/>
        <v>-7.4352720572903555E-2</v>
      </c>
      <c r="Q114" s="35">
        <f t="shared" si="33"/>
        <v>-7.4352720572903555E-2</v>
      </c>
      <c r="S114" s="29">
        <f t="shared" si="34"/>
        <v>967.27709145006634</v>
      </c>
      <c r="T114" s="52">
        <f t="shared" si="35"/>
        <v>1044.9737312993946</v>
      </c>
      <c r="U114" s="35">
        <f t="shared" si="22"/>
        <v>-7.4352720572903541E-2</v>
      </c>
      <c r="W114" s="82">
        <v>-4.1599999999999998E-2</v>
      </c>
      <c r="X114" s="34">
        <f t="shared" si="36"/>
        <v>-7.4352720572903555E-2</v>
      </c>
      <c r="Y114" s="34">
        <f t="shared" si="37"/>
        <v>-3.2752720572903557E-2</v>
      </c>
      <c r="AA114" s="35">
        <f t="shared" si="23"/>
        <v>-4.1599999999999998E-2</v>
      </c>
      <c r="AB114" s="34">
        <f t="shared" si="24"/>
        <v>-7.4352720572903555E-2</v>
      </c>
      <c r="AC114" s="35">
        <f t="shared" si="38"/>
        <v>-2.8552929680052845E-2</v>
      </c>
      <c r="AD114" s="34">
        <f t="shared" si="39"/>
        <v>-4.579979089285071E-2</v>
      </c>
    </row>
    <row r="115" spans="1:30" x14ac:dyDescent="0.2">
      <c r="A115" s="26">
        <v>45443</v>
      </c>
      <c r="B115" s="27">
        <v>415.1300048828125</v>
      </c>
      <c r="C115" s="33">
        <f t="shared" si="25"/>
        <v>6.6267739964483763E-2</v>
      </c>
      <c r="D115" s="27">
        <v>1096.3299560546875</v>
      </c>
      <c r="E115" s="33">
        <f t="shared" si="26"/>
        <v>0.2688710114025723</v>
      </c>
      <c r="F115" s="27">
        <v>173.96000671386719</v>
      </c>
      <c r="G115" s="33">
        <f t="shared" si="27"/>
        <v>5.6608402324889395E-2</v>
      </c>
      <c r="H115" s="27">
        <v>178.08000183105469</v>
      </c>
      <c r="I115" s="33">
        <f t="shared" si="28"/>
        <v>-2.8371873542535009E-2</v>
      </c>
      <c r="K115" s="34">
        <f t="shared" si="29"/>
        <v>6.6267739964483763E-2</v>
      </c>
      <c r="L115" s="34">
        <f t="shared" si="30"/>
        <v>0.2688710114025723</v>
      </c>
      <c r="M115" s="34">
        <f t="shared" si="31"/>
        <v>5.6608402324889395E-2</v>
      </c>
      <c r="N115" s="34">
        <f t="shared" si="32"/>
        <v>-2.8371873542535009E-2</v>
      </c>
      <c r="P115" s="35">
        <f t="shared" si="40"/>
        <v>6.6059834239607901E-2</v>
      </c>
      <c r="Q115" s="35" t="str">
        <f t="shared" si="33"/>
        <v/>
      </c>
      <c r="S115" s="29">
        <f t="shared" si="34"/>
        <v>1031.1752557750278</v>
      </c>
      <c r="T115" s="52">
        <f t="shared" si="35"/>
        <v>1044.9737312993946</v>
      </c>
      <c r="U115" s="35">
        <f t="shared" si="22"/>
        <v>-1.3204614729605435E-2</v>
      </c>
      <c r="W115" s="82">
        <v>4.8000000000000001E-2</v>
      </c>
      <c r="X115" s="34">
        <f t="shared" si="36"/>
        <v>6.6059834239607901E-2</v>
      </c>
      <c r="Y115" s="34">
        <f t="shared" si="37"/>
        <v>1.80598342396079E-2</v>
      </c>
      <c r="AA115" s="35">
        <f t="shared" si="23"/>
        <v>4.8000000000000001E-2</v>
      </c>
      <c r="AB115" s="34">
        <f t="shared" si="24"/>
        <v>6.6059834239607901E-2</v>
      </c>
      <c r="AC115" s="35">
        <f t="shared" si="38"/>
        <v>5.8705975441145294E-2</v>
      </c>
      <c r="AD115" s="34">
        <f t="shared" si="39"/>
        <v>7.3538587984626064E-3</v>
      </c>
    </row>
    <row r="116" spans="1:30" x14ac:dyDescent="0.2">
      <c r="A116" s="26">
        <v>45471</v>
      </c>
      <c r="B116" s="27">
        <v>446.95001220703125</v>
      </c>
      <c r="C116" s="33">
        <f t="shared" si="25"/>
        <v>7.6650704477989384E-2</v>
      </c>
      <c r="D116" s="27">
        <v>123.54000091552734</v>
      </c>
      <c r="E116" s="33">
        <f>(9.99*D116/D115)-1</f>
        <v>0.12572369507027781</v>
      </c>
      <c r="F116" s="27">
        <v>183.41999816894531</v>
      </c>
      <c r="G116" s="33">
        <f t="shared" si="27"/>
        <v>5.4380266095517493E-2</v>
      </c>
      <c r="H116" s="27">
        <v>197.8800048828125</v>
      </c>
      <c r="I116" s="33">
        <f t="shared" si="28"/>
        <v>0.11118599982126098</v>
      </c>
      <c r="K116" s="34">
        <f t="shared" si="29"/>
        <v>7.6650704477989384E-2</v>
      </c>
      <c r="L116" s="34">
        <f t="shared" si="30"/>
        <v>0.12572369507027781</v>
      </c>
      <c r="M116" s="34">
        <f t="shared" si="31"/>
        <v>5.4380266095517493E-2</v>
      </c>
      <c r="N116" s="34">
        <f t="shared" si="32"/>
        <v>0.11118599982126098</v>
      </c>
      <c r="P116" s="35">
        <f t="shared" si="40"/>
        <v>7.6726572133679061E-2</v>
      </c>
      <c r="Q116" s="35" t="str">
        <f t="shared" si="33"/>
        <v/>
      </c>
      <c r="S116" s="29">
        <f t="shared" si="34"/>
        <v>1110.2937984197154</v>
      </c>
      <c r="T116" s="52">
        <f t="shared" si="35"/>
        <v>1110.2937984197154</v>
      </c>
      <c r="U116" s="35">
        <f t="shared" si="22"/>
        <v>0</v>
      </c>
      <c r="W116" s="82">
        <v>3.4700000000000002E-2</v>
      </c>
      <c r="X116" s="34">
        <f t="shared" si="36"/>
        <v>7.6726572133679061E-2</v>
      </c>
      <c r="Y116" s="34">
        <f t="shared" si="37"/>
        <v>4.2026572133679059E-2</v>
      </c>
      <c r="AA116" s="35">
        <f t="shared" si="23"/>
        <v>3.4700000000000002E-2</v>
      </c>
      <c r="AB116" s="34">
        <f t="shared" si="24"/>
        <v>7.6726572133679061E-2</v>
      </c>
      <c r="AC116" s="35">
        <f t="shared" si="38"/>
        <v>4.575348171221745E-2</v>
      </c>
      <c r="AD116" s="34">
        <f t="shared" si="39"/>
        <v>3.097309042146161E-2</v>
      </c>
    </row>
    <row r="117" spans="1:30" x14ac:dyDescent="0.2">
      <c r="A117" s="26">
        <v>45504</v>
      </c>
      <c r="B117" s="27">
        <v>418.35000610351562</v>
      </c>
      <c r="C117" s="33">
        <f t="shared" si="25"/>
        <v>-6.3989272451944412E-2</v>
      </c>
      <c r="D117" s="27">
        <v>117.01999664306641</v>
      </c>
      <c r="E117" s="33">
        <f t="shared" si="26"/>
        <v>-5.2776462879574604E-2</v>
      </c>
      <c r="F117" s="27">
        <v>173.14999389648438</v>
      </c>
      <c r="G117" s="33">
        <f t="shared" si="27"/>
        <v>-5.5991736860674268E-2</v>
      </c>
      <c r="H117" s="27">
        <v>232.07000732421875</v>
      </c>
      <c r="I117" s="33">
        <f t="shared" si="28"/>
        <v>0.17278149180183244</v>
      </c>
      <c r="K117" s="34">
        <f t="shared" si="29"/>
        <v>-6.3989272451944412E-2</v>
      </c>
      <c r="L117" s="34">
        <f t="shared" si="30"/>
        <v>-5.2776462879574604E-2</v>
      </c>
      <c r="M117" s="34">
        <f t="shared" si="31"/>
        <v>-5.5991736860674268E-2</v>
      </c>
      <c r="N117" s="34">
        <f t="shared" si="32"/>
        <v>0.17278149180183244</v>
      </c>
      <c r="P117" s="35">
        <f t="shared" si="40"/>
        <v>-6.3469130879642316E-2</v>
      </c>
      <c r="Q117" s="35">
        <f t="shared" si="33"/>
        <v>-6.3469130879642316E-2</v>
      </c>
      <c r="S117" s="29">
        <f t="shared" si="34"/>
        <v>1039.8244160129593</v>
      </c>
      <c r="T117" s="52">
        <f t="shared" si="35"/>
        <v>1110.2937984197154</v>
      </c>
      <c r="U117" s="35">
        <f t="shared" si="22"/>
        <v>-6.3469130879642233E-2</v>
      </c>
      <c r="W117" s="82">
        <v>1.1299999999999999E-2</v>
      </c>
      <c r="X117" s="34">
        <f t="shared" si="36"/>
        <v>-6.3469130879642316E-2</v>
      </c>
      <c r="Y117" s="34">
        <f t="shared" si="37"/>
        <v>-7.476913087964232E-2</v>
      </c>
      <c r="AA117" s="35">
        <f t="shared" si="23"/>
        <v>1.1299999999999999E-2</v>
      </c>
      <c r="AB117" s="34">
        <f t="shared" si="24"/>
        <v>-6.3469130879642316E-2</v>
      </c>
      <c r="AC117" s="35">
        <f t="shared" si="38"/>
        <v>2.2964883722975969E-2</v>
      </c>
      <c r="AD117" s="34">
        <f t="shared" si="39"/>
        <v>-8.6434014602618292E-2</v>
      </c>
    </row>
    <row r="118" spans="1:30" x14ac:dyDescent="0.2">
      <c r="A118" s="26">
        <v>45534</v>
      </c>
      <c r="B118" s="27">
        <v>417.1400146484375</v>
      </c>
      <c r="C118" s="33">
        <f t="shared" si="25"/>
        <v>-2.8922945797178468E-3</v>
      </c>
      <c r="D118" s="27">
        <v>119.37000274658203</v>
      </c>
      <c r="E118" s="33">
        <f t="shared" si="26"/>
        <v>2.0082089992564223E-2</v>
      </c>
      <c r="F118" s="27">
        <v>165.11000061035156</v>
      </c>
      <c r="G118" s="33">
        <f t="shared" si="27"/>
        <v>-4.6433690843439623E-2</v>
      </c>
      <c r="H118" s="27">
        <v>214.11000061035156</v>
      </c>
      <c r="I118" s="33">
        <f t="shared" si="28"/>
        <v>-7.7390469026769826E-2</v>
      </c>
      <c r="K118" s="34">
        <f t="shared" si="29"/>
        <v>-2.8922945797178468E-3</v>
      </c>
      <c r="L118" s="34">
        <f t="shared" si="30"/>
        <v>2.0082089992564223E-2</v>
      </c>
      <c r="M118" s="34">
        <f t="shared" si="31"/>
        <v>-4.6433690843439623E-2</v>
      </c>
      <c r="N118" s="34">
        <f t="shared" si="32"/>
        <v>-7.7390469026769826E-2</v>
      </c>
      <c r="P118" s="35">
        <f t="shared" si="40"/>
        <v>-3.0559532886494868E-3</v>
      </c>
      <c r="Q118" s="35">
        <f t="shared" si="33"/>
        <v>-3.0559532886494868E-3</v>
      </c>
      <c r="S118" s="29">
        <f t="shared" si="34"/>
        <v>1036.6467611692265</v>
      </c>
      <c r="T118" s="52">
        <f t="shared" si="35"/>
        <v>1110.2937984197154</v>
      </c>
      <c r="U118" s="35">
        <f t="shared" si="22"/>
        <v>-6.6331125469052399E-2</v>
      </c>
      <c r="W118" s="82">
        <v>2.2800000000000001E-2</v>
      </c>
      <c r="X118" s="34">
        <f t="shared" si="36"/>
        <v>-3.0559532886494868E-3</v>
      </c>
      <c r="Y118" s="34">
        <f t="shared" si="37"/>
        <v>-2.5855953288649487E-2</v>
      </c>
      <c r="AA118" s="35">
        <f t="shared" si="23"/>
        <v>2.2800000000000001E-2</v>
      </c>
      <c r="AB118" s="34">
        <f t="shared" si="24"/>
        <v>-3.0559532886494868E-3</v>
      </c>
      <c r="AC118" s="35">
        <f t="shared" si="38"/>
        <v>3.4164408375808322E-2</v>
      </c>
      <c r="AD118" s="34">
        <f t="shared" si="39"/>
        <v>-3.7220361664457809E-2</v>
      </c>
    </row>
    <row r="119" spans="1:30" x14ac:dyDescent="0.2">
      <c r="A119" s="26">
        <v>45565</v>
      </c>
      <c r="B119" s="27">
        <v>430.29998779296875</v>
      </c>
      <c r="C119" s="33">
        <f t="shared" si="25"/>
        <v>3.154809580093243E-2</v>
      </c>
      <c r="D119" s="27">
        <v>121.44000244140625</v>
      </c>
      <c r="E119" s="33">
        <f t="shared" si="26"/>
        <v>1.7341037506874768E-2</v>
      </c>
      <c r="F119" s="27">
        <v>167.19000244140625</v>
      </c>
      <c r="G119" s="33">
        <f t="shared" si="27"/>
        <v>1.2597673207956461E-2</v>
      </c>
      <c r="H119" s="27">
        <v>261.6300048828125</v>
      </c>
      <c r="I119" s="33">
        <f t="shared" si="28"/>
        <v>0.22194201175563166</v>
      </c>
      <c r="K119" s="34">
        <f t="shared" si="29"/>
        <v>3.154809580093243E-2</v>
      </c>
      <c r="L119" s="34">
        <f t="shared" si="30"/>
        <v>1.7341037506874768E-2</v>
      </c>
      <c r="M119" s="34">
        <f t="shared" si="31"/>
        <v>1.2597673207956461E-2</v>
      </c>
      <c r="N119" s="34">
        <f t="shared" si="32"/>
        <v>0.22194201175563166</v>
      </c>
      <c r="P119" s="35">
        <f t="shared" si="40"/>
        <v>3.1966356016096938E-2</v>
      </c>
      <c r="Q119" s="35" t="str">
        <f t="shared" si="33"/>
        <v/>
      </c>
      <c r="S119" s="29">
        <f t="shared" si="34"/>
        <v>1069.7845805996958</v>
      </c>
      <c r="T119" s="52">
        <f t="shared" si="35"/>
        <v>1110.2937984197154</v>
      </c>
      <c r="U119" s="35">
        <f t="shared" si="22"/>
        <v>-3.6485133824647575E-2</v>
      </c>
      <c r="W119" s="82">
        <v>2.0199999999999999E-2</v>
      </c>
      <c r="X119" s="34">
        <f t="shared" si="36"/>
        <v>3.1966356016096938E-2</v>
      </c>
      <c r="Y119" s="34">
        <f t="shared" si="37"/>
        <v>1.1766356016096938E-2</v>
      </c>
      <c r="AA119" s="35">
        <f t="shared" si="23"/>
        <v>2.0199999999999999E-2</v>
      </c>
      <c r="AB119" s="34">
        <f t="shared" si="24"/>
        <v>3.1966356016096938E-2</v>
      </c>
      <c r="AC119" s="35">
        <f t="shared" si="38"/>
        <v>3.1632341932559267E-2</v>
      </c>
      <c r="AD119" s="34">
        <f t="shared" si="39"/>
        <v>3.3401408353767037E-4</v>
      </c>
    </row>
    <row r="120" spans="1:30" x14ac:dyDescent="0.2">
      <c r="A120" s="26">
        <v>45596</v>
      </c>
      <c r="B120" s="27">
        <v>406.35000610351562</v>
      </c>
      <c r="C120" s="33">
        <f t="shared" si="25"/>
        <v>-5.5658801693892257E-2</v>
      </c>
      <c r="D120" s="27">
        <v>132.75999450683594</v>
      </c>
      <c r="E120" s="33">
        <f t="shared" si="26"/>
        <v>9.3214689046893673E-2</v>
      </c>
      <c r="F120" s="27">
        <v>172.69000244140625</v>
      </c>
      <c r="G120" s="33">
        <f t="shared" si="27"/>
        <v>3.2896703867969279E-2</v>
      </c>
      <c r="H120" s="27">
        <v>249.85000610351562</v>
      </c>
      <c r="I120" s="33">
        <f t="shared" si="28"/>
        <v>-4.5025412068364634E-2</v>
      </c>
      <c r="K120" s="34">
        <f t="shared" si="29"/>
        <v>-5.5658801693892257E-2</v>
      </c>
      <c r="L120" s="34">
        <f t="shared" si="30"/>
        <v>9.3214689046893673E-2</v>
      </c>
      <c r="M120" s="34">
        <f t="shared" si="31"/>
        <v>3.2896703867969279E-2</v>
      </c>
      <c r="N120" s="34">
        <f t="shared" si="32"/>
        <v>-4.5025412068364634E-2</v>
      </c>
      <c r="P120" s="35">
        <f t="shared" si="40"/>
        <v>-5.5635442103800378E-2</v>
      </c>
      <c r="Q120" s="35">
        <f t="shared" si="33"/>
        <v>-5.5635442103800378E-2</v>
      </c>
      <c r="S120" s="29">
        <f t="shared" si="34"/>
        <v>1010.2666425022031</v>
      </c>
      <c r="T120" s="52">
        <f t="shared" si="35"/>
        <v>1110.2937984197154</v>
      </c>
      <c r="U120" s="35">
        <f t="shared" si="22"/>
        <v>-9.0090709377897316E-2</v>
      </c>
      <c r="W120" s="82">
        <v>-9.9000000000000008E-3</v>
      </c>
      <c r="X120" s="34">
        <f t="shared" si="36"/>
        <v>-5.5635442103800378E-2</v>
      </c>
      <c r="Y120" s="34">
        <f t="shared" si="37"/>
        <v>-4.5735442103800379E-2</v>
      </c>
      <c r="AA120" s="35">
        <f t="shared" si="23"/>
        <v>-9.9000000000000008E-3</v>
      </c>
      <c r="AB120" s="34">
        <f t="shared" si="24"/>
        <v>-5.5635442103800378E-2</v>
      </c>
      <c r="AC120" s="35">
        <f t="shared" si="38"/>
        <v>2.3188034934067663E-3</v>
      </c>
      <c r="AD120" s="34">
        <f t="shared" si="39"/>
        <v>-5.7954245597207146E-2</v>
      </c>
    </row>
    <row r="121" spans="1:30" x14ac:dyDescent="0.2">
      <c r="A121" s="26">
        <v>45625</v>
      </c>
      <c r="B121" s="27">
        <v>423.45999145507812</v>
      </c>
      <c r="C121" s="33">
        <f t="shared" si="25"/>
        <v>4.2106521704355027E-2</v>
      </c>
      <c r="D121" s="27">
        <v>138.25</v>
      </c>
      <c r="E121" s="33">
        <f t="shared" si="26"/>
        <v>4.1352860201281372E-2</v>
      </c>
      <c r="F121" s="27">
        <v>170.49000549316406</v>
      </c>
      <c r="G121" s="33">
        <f t="shared" si="27"/>
        <v>-1.2739573322946951E-2</v>
      </c>
      <c r="H121" s="27">
        <v>345.16000366210938</v>
      </c>
      <c r="I121" s="33">
        <f t="shared" si="28"/>
        <v>0.3814688622385134</v>
      </c>
      <c r="K121" s="34">
        <f t="shared" si="29"/>
        <v>4.2106521704355027E-2</v>
      </c>
      <c r="L121" s="34">
        <f t="shared" si="30"/>
        <v>4.1352860201281372E-2</v>
      </c>
      <c r="M121" s="34">
        <f t="shared" si="31"/>
        <v>-1.2739573322946951E-2</v>
      </c>
      <c r="N121" s="34">
        <f t="shared" si="32"/>
        <v>0.3814688622385134</v>
      </c>
      <c r="P121" s="35">
        <f t="shared" si="40"/>
        <v>4.2852037992828856E-2</v>
      </c>
      <c r="Q121" s="35" t="str">
        <f t="shared" si="33"/>
        <v/>
      </c>
      <c r="S121" s="29">
        <f t="shared" si="34"/>
        <v>1053.5586270495951</v>
      </c>
      <c r="T121" s="52">
        <f t="shared" si="35"/>
        <v>1110.2937984197154</v>
      </c>
      <c r="U121" s="35">
        <f t="shared" si="22"/>
        <v>-5.1099241886131019E-2</v>
      </c>
      <c r="W121" s="82">
        <v>5.7299999999999997E-2</v>
      </c>
      <c r="X121" s="34">
        <f t="shared" si="36"/>
        <v>4.2852037992828856E-2</v>
      </c>
      <c r="Y121" s="34">
        <f t="shared" si="37"/>
        <v>-1.444796200717114E-2</v>
      </c>
      <c r="AA121" s="35">
        <f t="shared" si="23"/>
        <v>5.7299999999999997E-2</v>
      </c>
      <c r="AB121" s="34">
        <f t="shared" si="24"/>
        <v>4.2852037992828856E-2</v>
      </c>
      <c r="AC121" s="35">
        <f t="shared" si="38"/>
        <v>6.7762982334305374E-2</v>
      </c>
      <c r="AD121" s="34">
        <f t="shared" si="39"/>
        <v>-2.4910944341476518E-2</v>
      </c>
    </row>
    <row r="122" spans="1:30" ht="17" thickBot="1" x14ac:dyDescent="0.25">
      <c r="A122" s="38">
        <v>45657</v>
      </c>
      <c r="B122" s="39">
        <v>421.5</v>
      </c>
      <c r="C122" s="40">
        <f t="shared" si="25"/>
        <v>-4.6285162580371741E-3</v>
      </c>
      <c r="D122" s="39">
        <v>134.28999328613281</v>
      </c>
      <c r="E122" s="40">
        <f t="shared" si="26"/>
        <v>-2.8643809865223746E-2</v>
      </c>
      <c r="F122" s="39">
        <v>190.44000244140625</v>
      </c>
      <c r="G122" s="40">
        <f t="shared" si="27"/>
        <v>0.1170156390724153</v>
      </c>
      <c r="H122" s="39">
        <v>403.83999633789062</v>
      </c>
      <c r="I122" s="40">
        <f t="shared" si="28"/>
        <v>0.17000808915631316</v>
      </c>
      <c r="K122" s="37">
        <f t="shared" si="29"/>
        <v>-4.6285162580371741E-3</v>
      </c>
      <c r="L122" s="37">
        <f t="shared" si="30"/>
        <v>-2.8643809865223746E-2</v>
      </c>
      <c r="M122" s="37">
        <f t="shared" si="31"/>
        <v>0.1170156390724153</v>
      </c>
      <c r="N122" s="37">
        <f t="shared" si="32"/>
        <v>0.17000808915631316</v>
      </c>
      <c r="P122" s="36">
        <f t="shared" si="40"/>
        <v>-4.2448719394152573E-3</v>
      </c>
      <c r="Q122" s="36">
        <f t="shared" si="33"/>
        <v>-4.2448719394152573E-3</v>
      </c>
      <c r="S122" s="42">
        <f t="shared" si="34"/>
        <v>1049.0864055971033</v>
      </c>
      <c r="T122" s="53">
        <f t="shared" si="35"/>
        <v>1110.2937984197154</v>
      </c>
      <c r="U122" s="36">
        <f t="shared" si="22"/>
        <v>-5.5127204087538573E-2</v>
      </c>
      <c r="W122" s="83">
        <v>-2.5000000000000001E-2</v>
      </c>
      <c r="X122" s="37">
        <f t="shared" si="36"/>
        <v>-4.2448719394152573E-3</v>
      </c>
      <c r="Y122" s="37">
        <f t="shared" si="37"/>
        <v>2.0755128060584743E-2</v>
      </c>
      <c r="AA122" s="36">
        <f t="shared" si="23"/>
        <v>-2.5000000000000001E-2</v>
      </c>
      <c r="AB122" s="37">
        <f t="shared" si="24"/>
        <v>-4.2448719394152573E-3</v>
      </c>
      <c r="AC122" s="36">
        <f t="shared" si="38"/>
        <v>-1.2386659311616579E-2</v>
      </c>
      <c r="AD122" s="37">
        <f t="shared" si="39"/>
        <v>8.1417873722013229E-3</v>
      </c>
    </row>
    <row r="123" spans="1:30" ht="17" thickBot="1" x14ac:dyDescent="0.25">
      <c r="W123" s="16"/>
    </row>
    <row r="124" spans="1:30" ht="17" thickBot="1" x14ac:dyDescent="0.25">
      <c r="K124" s="44">
        <v>0.99780318497538656</v>
      </c>
      <c r="L124" s="44">
        <v>0</v>
      </c>
      <c r="M124" s="44">
        <v>0</v>
      </c>
      <c r="N124" s="44">
        <v>2.1968150246145179E-3</v>
      </c>
      <c r="W124" s="16"/>
    </row>
    <row r="125" spans="1:30" x14ac:dyDescent="0.2">
      <c r="W125" s="16"/>
    </row>
    <row r="126" spans="1:30" ht="17" thickBot="1" x14ac:dyDescent="0.25">
      <c r="K126" s="126" t="s">
        <v>38</v>
      </c>
      <c r="L126" s="126"/>
      <c r="M126" s="126"/>
      <c r="N126" s="58">
        <f>SUM(K124:N124)</f>
        <v>1.0000000000000011</v>
      </c>
      <c r="W126" s="16"/>
    </row>
    <row r="127" spans="1:30" x14ac:dyDescent="0.2">
      <c r="W127" s="16"/>
    </row>
    <row r="128" spans="1:30" x14ac:dyDescent="0.2">
      <c r="W128" s="16"/>
    </row>
    <row r="129" spans="23:23" x14ac:dyDescent="0.2">
      <c r="W129" s="16"/>
    </row>
    <row r="130" spans="23:23" x14ac:dyDescent="0.2">
      <c r="W130" s="16"/>
    </row>
    <row r="131" spans="23:23" x14ac:dyDescent="0.2">
      <c r="W131" s="16"/>
    </row>
    <row r="132" spans="23:23" x14ac:dyDescent="0.2">
      <c r="W132" s="16"/>
    </row>
    <row r="133" spans="23:23" x14ac:dyDescent="0.2">
      <c r="W133" s="16"/>
    </row>
    <row r="134" spans="23:23" x14ac:dyDescent="0.2">
      <c r="W134" s="16"/>
    </row>
    <row r="135" spans="23:23" x14ac:dyDescent="0.2">
      <c r="W135" s="16"/>
    </row>
    <row r="136" spans="23:23" x14ac:dyDescent="0.2">
      <c r="W136" s="16"/>
    </row>
    <row r="137" spans="23:23" x14ac:dyDescent="0.2">
      <c r="W137" s="16"/>
    </row>
    <row r="138" spans="23:23" x14ac:dyDescent="0.2">
      <c r="W138" s="16"/>
    </row>
    <row r="139" spans="23:23" x14ac:dyDescent="0.2">
      <c r="W139" s="16"/>
    </row>
    <row r="140" spans="23:23" x14ac:dyDescent="0.2">
      <c r="W140" s="16"/>
    </row>
    <row r="141" spans="23:23" x14ac:dyDescent="0.2">
      <c r="W141" s="16"/>
    </row>
    <row r="142" spans="23:23" x14ac:dyDescent="0.2">
      <c r="W142" s="16"/>
    </row>
    <row r="143" spans="23:23" x14ac:dyDescent="0.2">
      <c r="W143" s="16"/>
    </row>
    <row r="144" spans="23:23" x14ac:dyDescent="0.2">
      <c r="W144" s="16"/>
    </row>
    <row r="145" spans="23:23" x14ac:dyDescent="0.2">
      <c r="W145" s="16"/>
    </row>
    <row r="146" spans="23:23" x14ac:dyDescent="0.2">
      <c r="W146" s="16"/>
    </row>
    <row r="147" spans="23:23" x14ac:dyDescent="0.2">
      <c r="W147" s="16"/>
    </row>
    <row r="148" spans="23:23" x14ac:dyDescent="0.2">
      <c r="W148" s="16"/>
    </row>
    <row r="149" spans="23:23" x14ac:dyDescent="0.2">
      <c r="W149" s="16"/>
    </row>
    <row r="150" spans="23:23" x14ac:dyDescent="0.2">
      <c r="W150" s="16"/>
    </row>
    <row r="151" spans="23:23" x14ac:dyDescent="0.2">
      <c r="W151" s="16"/>
    </row>
    <row r="152" spans="23:23" x14ac:dyDescent="0.2">
      <c r="W152" s="16"/>
    </row>
    <row r="153" spans="23:23" x14ac:dyDescent="0.2">
      <c r="W153" s="16"/>
    </row>
    <row r="154" spans="23:23" x14ac:dyDescent="0.2">
      <c r="W154" s="16"/>
    </row>
    <row r="155" spans="23:23" x14ac:dyDescent="0.2">
      <c r="W155" s="16"/>
    </row>
    <row r="156" spans="23:23" x14ac:dyDescent="0.2">
      <c r="W156" s="16"/>
    </row>
    <row r="157" spans="23:23" x14ac:dyDescent="0.2">
      <c r="W157" s="16"/>
    </row>
    <row r="158" spans="23:23" x14ac:dyDescent="0.2">
      <c r="W158" s="16"/>
    </row>
    <row r="159" spans="23:23" x14ac:dyDescent="0.2">
      <c r="W159" s="16"/>
    </row>
    <row r="160" spans="23:23" x14ac:dyDescent="0.2">
      <c r="W160" s="16"/>
    </row>
    <row r="161" spans="23:23" x14ac:dyDescent="0.2">
      <c r="W161" s="16"/>
    </row>
    <row r="162" spans="23:23" x14ac:dyDescent="0.2">
      <c r="W162" s="16"/>
    </row>
    <row r="163" spans="23:23" x14ac:dyDescent="0.2">
      <c r="W163" s="16"/>
    </row>
    <row r="164" spans="23:23" x14ac:dyDescent="0.2">
      <c r="W164" s="16"/>
    </row>
    <row r="165" spans="23:23" x14ac:dyDescent="0.2">
      <c r="W165" s="16"/>
    </row>
    <row r="166" spans="23:23" x14ac:dyDescent="0.2">
      <c r="W166" s="16"/>
    </row>
    <row r="167" spans="23:23" x14ac:dyDescent="0.2">
      <c r="W167" s="16"/>
    </row>
    <row r="168" spans="23:23" x14ac:dyDescent="0.2">
      <c r="W168" s="16"/>
    </row>
    <row r="169" spans="23:23" x14ac:dyDescent="0.2">
      <c r="W169" s="16"/>
    </row>
    <row r="170" spans="23:23" x14ac:dyDescent="0.2">
      <c r="W170" s="16"/>
    </row>
    <row r="171" spans="23:23" x14ac:dyDescent="0.2">
      <c r="W171" s="16"/>
    </row>
    <row r="172" spans="23:23" x14ac:dyDescent="0.2">
      <c r="W172" s="16"/>
    </row>
    <row r="173" spans="23:23" x14ac:dyDescent="0.2">
      <c r="W173" s="16"/>
    </row>
    <row r="174" spans="23:23" x14ac:dyDescent="0.2">
      <c r="W174" s="16"/>
    </row>
    <row r="175" spans="23:23" x14ac:dyDescent="0.2">
      <c r="W175" s="16"/>
    </row>
    <row r="176" spans="23:23" x14ac:dyDescent="0.2">
      <c r="W176" s="16"/>
    </row>
    <row r="177" spans="23:23" x14ac:dyDescent="0.2">
      <c r="W177" s="16"/>
    </row>
    <row r="178" spans="23:23" x14ac:dyDescent="0.2">
      <c r="W178" s="16"/>
    </row>
    <row r="179" spans="23:23" x14ac:dyDescent="0.2">
      <c r="W179" s="16"/>
    </row>
    <row r="180" spans="23:23" x14ac:dyDescent="0.2">
      <c r="W180" s="16"/>
    </row>
    <row r="181" spans="23:23" x14ac:dyDescent="0.2">
      <c r="W181" s="16"/>
    </row>
    <row r="182" spans="23:23" x14ac:dyDescent="0.2">
      <c r="W182" s="16"/>
    </row>
    <row r="183" spans="23:23" x14ac:dyDescent="0.2">
      <c r="W183" s="16"/>
    </row>
    <row r="184" spans="23:23" x14ac:dyDescent="0.2">
      <c r="W184" s="16"/>
    </row>
    <row r="185" spans="23:23" x14ac:dyDescent="0.2">
      <c r="W185" s="16"/>
    </row>
    <row r="186" spans="23:23" x14ac:dyDescent="0.2">
      <c r="W186" s="16"/>
    </row>
    <row r="187" spans="23:23" x14ac:dyDescent="0.2">
      <c r="W187" s="16"/>
    </row>
    <row r="188" spans="23:23" x14ac:dyDescent="0.2">
      <c r="W188" s="16"/>
    </row>
    <row r="189" spans="23:23" x14ac:dyDescent="0.2">
      <c r="W189" s="16"/>
    </row>
    <row r="190" spans="23:23" x14ac:dyDescent="0.2">
      <c r="W190" s="16"/>
    </row>
    <row r="191" spans="23:23" x14ac:dyDescent="0.2">
      <c r="W191" s="16"/>
    </row>
    <row r="192" spans="23:23" x14ac:dyDescent="0.2">
      <c r="W192" s="16"/>
    </row>
    <row r="193" spans="23:23" x14ac:dyDescent="0.2">
      <c r="W193" s="16"/>
    </row>
    <row r="194" spans="23:23" x14ac:dyDescent="0.2">
      <c r="W194" s="16"/>
    </row>
    <row r="195" spans="23:23" x14ac:dyDescent="0.2">
      <c r="W195" s="16"/>
    </row>
    <row r="196" spans="23:23" x14ac:dyDescent="0.2">
      <c r="W196" s="16"/>
    </row>
    <row r="197" spans="23:23" x14ac:dyDescent="0.2">
      <c r="W197" s="16"/>
    </row>
    <row r="198" spans="23:23" x14ac:dyDescent="0.2">
      <c r="W198" s="16"/>
    </row>
    <row r="199" spans="23:23" x14ac:dyDescent="0.2">
      <c r="W199" s="16"/>
    </row>
    <row r="200" spans="23:23" x14ac:dyDescent="0.2">
      <c r="W200" s="16"/>
    </row>
    <row r="201" spans="23:23" x14ac:dyDescent="0.2">
      <c r="W201" s="16"/>
    </row>
    <row r="202" spans="23:23" x14ac:dyDescent="0.2">
      <c r="W202" s="16"/>
    </row>
    <row r="203" spans="23:23" x14ac:dyDescent="0.2">
      <c r="W203" s="16"/>
    </row>
    <row r="204" spans="23:23" x14ac:dyDescent="0.2">
      <c r="W204" s="16"/>
    </row>
    <row r="205" spans="23:23" x14ac:dyDescent="0.2">
      <c r="W205" s="16"/>
    </row>
    <row r="206" spans="23:23" x14ac:dyDescent="0.2">
      <c r="W206" s="16"/>
    </row>
    <row r="207" spans="23:23" x14ac:dyDescent="0.2">
      <c r="W207" s="16"/>
    </row>
    <row r="208" spans="23:23" x14ac:dyDescent="0.2">
      <c r="W208" s="16"/>
    </row>
    <row r="209" spans="23:23" x14ac:dyDescent="0.2">
      <c r="W209" s="16"/>
    </row>
    <row r="210" spans="23:23" x14ac:dyDescent="0.2">
      <c r="W210" s="16"/>
    </row>
    <row r="211" spans="23:23" x14ac:dyDescent="0.2">
      <c r="W211" s="16"/>
    </row>
    <row r="212" spans="23:23" x14ac:dyDescent="0.2">
      <c r="W212" s="16"/>
    </row>
    <row r="213" spans="23:23" x14ac:dyDescent="0.2">
      <c r="W213" s="16"/>
    </row>
    <row r="214" spans="23:23" x14ac:dyDescent="0.2">
      <c r="W214" s="16"/>
    </row>
    <row r="215" spans="23:23" x14ac:dyDescent="0.2">
      <c r="W215" s="16"/>
    </row>
    <row r="216" spans="23:23" x14ac:dyDescent="0.2">
      <c r="W216" s="16"/>
    </row>
    <row r="217" spans="23:23" x14ac:dyDescent="0.2">
      <c r="W217" s="16"/>
    </row>
    <row r="218" spans="23:23" x14ac:dyDescent="0.2">
      <c r="W218" s="16"/>
    </row>
    <row r="219" spans="23:23" x14ac:dyDescent="0.2">
      <c r="W219" s="16"/>
    </row>
    <row r="220" spans="23:23" x14ac:dyDescent="0.2">
      <c r="W220" s="16"/>
    </row>
    <row r="221" spans="23:23" x14ac:dyDescent="0.2">
      <c r="W221" s="16"/>
    </row>
    <row r="222" spans="23:23" x14ac:dyDescent="0.2">
      <c r="W222" s="16"/>
    </row>
    <row r="223" spans="23:23" x14ac:dyDescent="0.2">
      <c r="W223" s="16"/>
    </row>
    <row r="224" spans="23:23" x14ac:dyDescent="0.2">
      <c r="W224" s="16"/>
    </row>
    <row r="225" spans="23:23" x14ac:dyDescent="0.2">
      <c r="W225" s="16"/>
    </row>
    <row r="226" spans="23:23" x14ac:dyDescent="0.2">
      <c r="W226" s="16"/>
    </row>
    <row r="227" spans="23:23" x14ac:dyDescent="0.2">
      <c r="W227" s="16"/>
    </row>
    <row r="228" spans="23:23" x14ac:dyDescent="0.2">
      <c r="W228" s="16"/>
    </row>
    <row r="229" spans="23:23" x14ac:dyDescent="0.2">
      <c r="W229" s="16"/>
    </row>
    <row r="230" spans="23:23" x14ac:dyDescent="0.2">
      <c r="W230" s="16"/>
    </row>
    <row r="231" spans="23:23" x14ac:dyDescent="0.2">
      <c r="W231" s="16"/>
    </row>
    <row r="232" spans="23:23" x14ac:dyDescent="0.2">
      <c r="W232" s="16"/>
    </row>
    <row r="233" spans="23:23" x14ac:dyDescent="0.2">
      <c r="W233" s="16"/>
    </row>
    <row r="234" spans="23:23" x14ac:dyDescent="0.2">
      <c r="W234" s="16"/>
    </row>
    <row r="235" spans="23:23" x14ac:dyDescent="0.2">
      <c r="W235" s="16"/>
    </row>
    <row r="236" spans="23:23" x14ac:dyDescent="0.2">
      <c r="W236" s="16"/>
    </row>
    <row r="237" spans="23:23" x14ac:dyDescent="0.2">
      <c r="W237" s="16"/>
    </row>
    <row r="238" spans="23:23" x14ac:dyDescent="0.2">
      <c r="W238" s="16"/>
    </row>
    <row r="239" spans="23:23" x14ac:dyDescent="0.2">
      <c r="W239" s="16"/>
    </row>
    <row r="240" spans="23:23" x14ac:dyDescent="0.2">
      <c r="W240" s="16"/>
    </row>
    <row r="241" spans="11:23" x14ac:dyDescent="0.2">
      <c r="W241" s="16"/>
    </row>
    <row r="242" spans="11:23" x14ac:dyDescent="0.2">
      <c r="W242" s="16"/>
    </row>
    <row r="244" spans="11:23" x14ac:dyDescent="0.2">
      <c r="K244">
        <v>0</v>
      </c>
      <c r="L244">
        <v>0</v>
      </c>
      <c r="M244">
        <v>0</v>
      </c>
      <c r="N244">
        <v>0</v>
      </c>
    </row>
  </sheetData>
  <mergeCells count="44">
    <mergeCell ref="K126:M126"/>
    <mergeCell ref="AH14:AI14"/>
    <mergeCell ref="AH9:AI9"/>
    <mergeCell ref="AH10:AI10"/>
    <mergeCell ref="AH11:AI11"/>
    <mergeCell ref="AH12:AI12"/>
    <mergeCell ref="AH15:AI15"/>
    <mergeCell ref="AH16:AI16"/>
    <mergeCell ref="AH17:AI17"/>
    <mergeCell ref="AH18:AI18"/>
    <mergeCell ref="AH19:AI19"/>
    <mergeCell ref="AH22:AL22"/>
    <mergeCell ref="AH20:AI20"/>
    <mergeCell ref="AH5:AI5"/>
    <mergeCell ref="AH6:AI6"/>
    <mergeCell ref="AH7:AI7"/>
    <mergeCell ref="AH8:AI8"/>
    <mergeCell ref="AH13:AI13"/>
    <mergeCell ref="Y1:Y2"/>
    <mergeCell ref="AH3:AI3"/>
    <mergeCell ref="AH4:AI4"/>
    <mergeCell ref="AH1:AJ2"/>
    <mergeCell ref="AA1:AA2"/>
    <mergeCell ref="AB1:AB2"/>
    <mergeCell ref="AC1:AC2"/>
    <mergeCell ref="AD1:AD2"/>
    <mergeCell ref="AE1:AE2"/>
    <mergeCell ref="AF1:AF2"/>
    <mergeCell ref="AO4:AR4"/>
    <mergeCell ref="AO8:AR8"/>
    <mergeCell ref="AO12:AR12"/>
    <mergeCell ref="K1:N1"/>
    <mergeCell ref="A1:A2"/>
    <mergeCell ref="B1:C1"/>
    <mergeCell ref="D1:E1"/>
    <mergeCell ref="F1:G1"/>
    <mergeCell ref="H1:I1"/>
    <mergeCell ref="P1:P2"/>
    <mergeCell ref="Q1:Q2"/>
    <mergeCell ref="U1:U2"/>
    <mergeCell ref="T1:T2"/>
    <mergeCell ref="S1:S2"/>
    <mergeCell ref="W1:W2"/>
    <mergeCell ref="X1:X2"/>
  </mergeCells>
  <pageMargins left="0.7" right="0.7" top="0.75" bottom="0.75" header="0.3" footer="0.3"/>
  <pageSetup orientation="portrait" horizontalDpi="0" verticalDpi="0"/>
  <ignoredErrors>
    <ignoredError sqref="AJ12:AJ13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2B32-90C8-5840-A20E-69EAFB4D1D0B}">
  <sheetPr codeName="Sheet3"/>
  <dimension ref="A1:P122"/>
  <sheetViews>
    <sheetView showGridLines="0" zoomScale="125" workbookViewId="0">
      <selection activeCell="I19" sqref="I19"/>
    </sheetView>
  </sheetViews>
  <sheetFormatPr baseColWidth="10" defaultRowHeight="16" x14ac:dyDescent="0.2"/>
  <cols>
    <col min="1" max="1" width="8.5" bestFit="1" customWidth="1"/>
    <col min="2" max="2" width="11" bestFit="1" customWidth="1"/>
    <col min="3" max="3" width="11" customWidth="1"/>
    <col min="4" max="4" width="12" bestFit="1" customWidth="1"/>
    <col min="5" max="5" width="11" bestFit="1" customWidth="1"/>
    <col min="6" max="6" width="11" customWidth="1"/>
    <col min="7" max="7" width="12" bestFit="1" customWidth="1"/>
    <col min="8" max="8" width="11" bestFit="1" customWidth="1"/>
    <col min="9" max="9" width="11" customWidth="1"/>
    <col min="10" max="10" width="12" bestFit="1" customWidth="1"/>
    <col min="11" max="11" width="11" bestFit="1" customWidth="1"/>
    <col min="12" max="12" width="11" customWidth="1"/>
    <col min="13" max="13" width="12" bestFit="1" customWidth="1"/>
    <col min="14" max="14" width="17.6640625" bestFit="1" customWidth="1"/>
    <col min="15" max="15" width="10.5" bestFit="1" customWidth="1"/>
    <col min="16" max="16" width="14" bestFit="1" customWidth="1"/>
    <col min="18" max="18" width="31.1640625" bestFit="1" customWidth="1"/>
  </cols>
  <sheetData>
    <row r="1" spans="1:16" x14ac:dyDescent="0.2">
      <c r="A1" s="128" t="s">
        <v>2</v>
      </c>
      <c r="B1" s="130" t="s">
        <v>3</v>
      </c>
      <c r="C1" s="131"/>
      <c r="D1" s="132"/>
      <c r="E1" s="130" t="s">
        <v>4</v>
      </c>
      <c r="F1" s="131"/>
      <c r="G1" s="132"/>
      <c r="H1" s="130" t="s">
        <v>5</v>
      </c>
      <c r="I1" s="131"/>
      <c r="J1" s="132"/>
      <c r="K1" s="130" t="s">
        <v>6</v>
      </c>
      <c r="L1" s="131"/>
      <c r="M1" s="132"/>
    </row>
    <row r="2" spans="1:16" x14ac:dyDescent="0.2">
      <c r="A2" s="129"/>
      <c r="B2" s="22" t="s">
        <v>14</v>
      </c>
      <c r="C2" s="23" t="s">
        <v>15</v>
      </c>
      <c r="D2" s="24" t="s">
        <v>1</v>
      </c>
      <c r="E2" s="22" t="s">
        <v>14</v>
      </c>
      <c r="F2" s="23" t="s">
        <v>15</v>
      </c>
      <c r="G2" s="24" t="s">
        <v>1</v>
      </c>
      <c r="H2" s="22" t="s">
        <v>14</v>
      </c>
      <c r="I2" s="23" t="s">
        <v>15</v>
      </c>
      <c r="J2" s="24" t="s">
        <v>1</v>
      </c>
      <c r="K2" s="22" t="s">
        <v>14</v>
      </c>
      <c r="L2" s="23" t="s">
        <v>15</v>
      </c>
      <c r="M2" s="24" t="s">
        <v>1</v>
      </c>
    </row>
    <row r="3" spans="1:16" x14ac:dyDescent="0.2">
      <c r="A3" s="4">
        <v>42034</v>
      </c>
      <c r="B3" s="21" t="s">
        <v>24</v>
      </c>
      <c r="C3" s="25">
        <f>SUM(B4:B122)</f>
        <v>0</v>
      </c>
      <c r="D3" s="1">
        <v>8203785</v>
      </c>
      <c r="E3" s="21" t="s">
        <v>24</v>
      </c>
      <c r="F3" s="25">
        <f>SUM(E4:E122)</f>
        <v>2</v>
      </c>
      <c r="G3" s="1">
        <v>544913</v>
      </c>
      <c r="H3" s="21" t="s">
        <v>24</v>
      </c>
      <c r="I3" s="25">
        <f>SUM(H4:H122)</f>
        <v>1</v>
      </c>
      <c r="J3" s="1">
        <v>340666</v>
      </c>
      <c r="K3" s="21" t="s">
        <v>24</v>
      </c>
      <c r="L3" s="25">
        <f>SUM(K4:K122)</f>
        <v>2</v>
      </c>
      <c r="M3" s="1">
        <v>125763</v>
      </c>
      <c r="P3" s="2"/>
    </row>
    <row r="4" spans="1:16" x14ac:dyDescent="0.2">
      <c r="A4" s="4">
        <v>42062</v>
      </c>
      <c r="B4" s="17" t="str">
        <f>IF(D4/D3&gt;1.99,1,"")</f>
        <v/>
      </c>
      <c r="C4" s="18"/>
      <c r="D4" s="1">
        <v>8203785</v>
      </c>
      <c r="E4" s="17" t="str">
        <f>IF(G4/G3&gt;1.99,1,"")</f>
        <v/>
      </c>
      <c r="F4" s="18"/>
      <c r="G4" s="1">
        <v>544913</v>
      </c>
      <c r="H4" s="19" t="str">
        <f>IF(J4/J3&gt;1.99,1,"")</f>
        <v/>
      </c>
      <c r="I4" s="20"/>
      <c r="J4" s="1">
        <v>340666</v>
      </c>
      <c r="K4" s="17" t="str">
        <f>IF(M4/M3&gt;1.99,1,"")</f>
        <v/>
      </c>
      <c r="L4" s="18"/>
      <c r="M4" s="1">
        <v>125763</v>
      </c>
    </row>
    <row r="5" spans="1:16" x14ac:dyDescent="0.2">
      <c r="A5" s="4">
        <v>42094</v>
      </c>
      <c r="B5" s="6" t="str">
        <f t="shared" ref="B5:B68" si="0">IF(D5/D4&gt;1.99,1,"")</f>
        <v/>
      </c>
      <c r="C5" s="8"/>
      <c r="D5" s="1">
        <v>8113000</v>
      </c>
      <c r="E5" s="6" t="str">
        <f t="shared" ref="E5:E68" si="1">IF(G5/G4&gt;1.99,1,"")</f>
        <v/>
      </c>
      <c r="F5" s="8"/>
      <c r="G5" s="1">
        <v>549840</v>
      </c>
      <c r="H5" s="7" t="str">
        <f t="shared" ref="H5:H68" si="2">IF(J5/J4&gt;1.99,1,"")</f>
        <v/>
      </c>
      <c r="I5" s="9"/>
      <c r="J5" s="1">
        <v>341652</v>
      </c>
      <c r="K5" s="6" t="str">
        <f t="shared" ref="K5:K68" si="3">IF(M5/M4&gt;1.99,1,"")</f>
        <v/>
      </c>
      <c r="L5" s="8"/>
      <c r="M5" s="1">
        <v>126362</v>
      </c>
    </row>
    <row r="6" spans="1:16" x14ac:dyDescent="0.2">
      <c r="A6" s="4">
        <v>42124</v>
      </c>
      <c r="B6" s="6" t="str">
        <f t="shared" si="0"/>
        <v/>
      </c>
      <c r="C6" s="8"/>
      <c r="D6" s="1">
        <v>8089575</v>
      </c>
      <c r="E6" s="6" t="str">
        <f t="shared" si="1"/>
        <v/>
      </c>
      <c r="F6" s="8"/>
      <c r="G6" s="1">
        <v>538000</v>
      </c>
      <c r="H6" s="7" t="str">
        <f t="shared" si="2"/>
        <v/>
      </c>
      <c r="I6" s="9"/>
      <c r="J6" s="1">
        <v>342630</v>
      </c>
      <c r="K6" s="6" t="str">
        <f t="shared" si="3"/>
        <v/>
      </c>
      <c r="L6" s="8"/>
      <c r="M6" s="1">
        <v>126404</v>
      </c>
    </row>
    <row r="7" spans="1:16" x14ac:dyDescent="0.2">
      <c r="A7" s="4">
        <v>42153</v>
      </c>
      <c r="B7" s="6" t="str">
        <f t="shared" si="0"/>
        <v/>
      </c>
      <c r="C7" s="8"/>
      <c r="D7" s="1">
        <v>8089575</v>
      </c>
      <c r="E7" s="6" t="str">
        <f t="shared" si="1"/>
        <v/>
      </c>
      <c r="F7" s="8"/>
      <c r="G7" s="1">
        <v>538000</v>
      </c>
      <c r="H7" s="7" t="str">
        <f t="shared" si="2"/>
        <v/>
      </c>
      <c r="I7" s="9"/>
      <c r="J7" s="1">
        <v>342630</v>
      </c>
      <c r="K7" s="6" t="str">
        <f t="shared" si="3"/>
        <v/>
      </c>
      <c r="L7" s="8"/>
      <c r="M7" s="1">
        <v>126404</v>
      </c>
    </row>
    <row r="8" spans="1:16" x14ac:dyDescent="0.2">
      <c r="A8" s="4">
        <v>42185</v>
      </c>
      <c r="B8" s="6" t="str">
        <f t="shared" si="0"/>
        <v/>
      </c>
      <c r="C8" s="8"/>
      <c r="D8" s="1">
        <v>8027000</v>
      </c>
      <c r="E8" s="6" t="str">
        <f t="shared" si="1"/>
        <v/>
      </c>
      <c r="F8" s="8"/>
      <c r="G8" s="1">
        <v>538000</v>
      </c>
      <c r="H8" s="7" t="str">
        <f t="shared" si="2"/>
        <v/>
      </c>
      <c r="I8" s="9"/>
      <c r="J8" s="1">
        <v>343908</v>
      </c>
      <c r="K8" s="6" t="str">
        <f t="shared" si="3"/>
        <v/>
      </c>
      <c r="L8" s="8"/>
      <c r="M8" s="1">
        <v>127101</v>
      </c>
    </row>
    <row r="9" spans="1:16" x14ac:dyDescent="0.2">
      <c r="A9" s="4">
        <v>42216</v>
      </c>
      <c r="B9" s="6" t="str">
        <f t="shared" si="0"/>
        <v/>
      </c>
      <c r="C9" s="8"/>
      <c r="D9" s="1">
        <v>7997981</v>
      </c>
      <c r="E9" s="6" t="str">
        <f t="shared" si="1"/>
        <v/>
      </c>
      <c r="F9" s="8"/>
      <c r="G9" s="1">
        <v>539000</v>
      </c>
      <c r="H9" s="7" t="str">
        <f t="shared" si="2"/>
        <v/>
      </c>
      <c r="I9" s="9"/>
      <c r="J9" s="1">
        <v>343929</v>
      </c>
      <c r="K9" s="6" t="str">
        <f t="shared" si="3"/>
        <v/>
      </c>
      <c r="L9" s="8"/>
      <c r="M9" s="1">
        <v>127142</v>
      </c>
    </row>
    <row r="10" spans="1:16" x14ac:dyDescent="0.2">
      <c r="A10" s="4">
        <v>42247</v>
      </c>
      <c r="B10" s="6" t="str">
        <f t="shared" si="0"/>
        <v/>
      </c>
      <c r="C10" s="8"/>
      <c r="D10" s="1">
        <v>7997981</v>
      </c>
      <c r="E10" s="6" t="str">
        <f t="shared" si="1"/>
        <v/>
      </c>
      <c r="F10" s="8"/>
      <c r="G10" s="1">
        <v>539000</v>
      </c>
      <c r="H10" s="7" t="str">
        <f t="shared" si="2"/>
        <v/>
      </c>
      <c r="I10" s="9"/>
      <c r="J10" s="1">
        <v>343929</v>
      </c>
      <c r="K10" s="6" t="str">
        <f t="shared" si="3"/>
        <v/>
      </c>
      <c r="L10" s="8"/>
      <c r="M10" s="1">
        <v>129837</v>
      </c>
    </row>
    <row r="11" spans="1:16" x14ac:dyDescent="0.2">
      <c r="A11" s="4">
        <v>42277</v>
      </c>
      <c r="B11" s="6" t="str">
        <f t="shared" si="0"/>
        <v/>
      </c>
      <c r="C11" s="8"/>
      <c r="D11" s="1">
        <v>7986000</v>
      </c>
      <c r="E11" s="6" t="str">
        <f t="shared" si="1"/>
        <v/>
      </c>
      <c r="F11" s="8"/>
      <c r="G11" s="1">
        <v>539000</v>
      </c>
      <c r="H11" s="7" t="str">
        <f t="shared" si="2"/>
        <v/>
      </c>
      <c r="I11" s="9"/>
      <c r="J11" s="1">
        <v>345489</v>
      </c>
      <c r="K11" s="6" t="str">
        <f t="shared" si="3"/>
        <v/>
      </c>
      <c r="L11" s="8"/>
      <c r="M11" s="1">
        <v>130901</v>
      </c>
    </row>
    <row r="12" spans="1:16" x14ac:dyDescent="0.2">
      <c r="A12" s="4">
        <v>42307</v>
      </c>
      <c r="B12" s="6" t="str">
        <f t="shared" si="0"/>
        <v/>
      </c>
      <c r="C12" s="8"/>
      <c r="D12" s="1">
        <v>7987913</v>
      </c>
      <c r="E12" s="6" t="str">
        <f t="shared" si="1"/>
        <v/>
      </c>
      <c r="F12" s="8"/>
      <c r="G12" s="1">
        <v>538000</v>
      </c>
      <c r="H12" s="7" t="str">
        <f t="shared" si="2"/>
        <v/>
      </c>
      <c r="I12" s="9"/>
      <c r="J12" s="1">
        <v>345504</v>
      </c>
      <c r="K12" s="6" t="str">
        <f t="shared" si="3"/>
        <v/>
      </c>
      <c r="L12" s="8"/>
      <c r="M12" s="1">
        <v>130951</v>
      </c>
    </row>
    <row r="13" spans="1:16" x14ac:dyDescent="0.2">
      <c r="A13" s="4">
        <v>42338</v>
      </c>
      <c r="B13" s="6" t="str">
        <f t="shared" si="0"/>
        <v/>
      </c>
      <c r="C13" s="8"/>
      <c r="D13" s="1">
        <v>7987913</v>
      </c>
      <c r="E13" s="6" t="str">
        <f t="shared" si="1"/>
        <v/>
      </c>
      <c r="F13" s="8"/>
      <c r="G13" s="1">
        <v>538000</v>
      </c>
      <c r="H13" s="7" t="str">
        <f t="shared" si="2"/>
        <v/>
      </c>
      <c r="I13" s="9"/>
      <c r="J13" s="1">
        <v>345504</v>
      </c>
      <c r="K13" s="6" t="str">
        <f t="shared" si="3"/>
        <v/>
      </c>
      <c r="L13" s="8"/>
      <c r="M13" s="1">
        <v>130951</v>
      </c>
    </row>
    <row r="14" spans="1:16" x14ac:dyDescent="0.2">
      <c r="A14" s="4">
        <v>42369</v>
      </c>
      <c r="B14" s="6" t="str">
        <f t="shared" si="0"/>
        <v/>
      </c>
      <c r="C14" s="8"/>
      <c r="D14" s="1">
        <v>7925000</v>
      </c>
      <c r="E14" s="6" t="str">
        <f t="shared" si="1"/>
        <v/>
      </c>
      <c r="F14" s="8"/>
      <c r="G14" s="1">
        <v>538000</v>
      </c>
      <c r="H14" s="7" t="str">
        <f t="shared" si="2"/>
        <v/>
      </c>
      <c r="I14" s="9"/>
      <c r="J14" s="1">
        <v>344756</v>
      </c>
      <c r="K14" s="6" t="str">
        <f t="shared" si="3"/>
        <v/>
      </c>
      <c r="L14" s="8"/>
      <c r="M14" s="1">
        <v>131425</v>
      </c>
    </row>
    <row r="15" spans="1:16" x14ac:dyDescent="0.2">
      <c r="A15" s="4">
        <v>42398</v>
      </c>
      <c r="B15" s="6" t="str">
        <f t="shared" si="0"/>
        <v/>
      </c>
      <c r="C15" s="8"/>
      <c r="D15" s="1">
        <v>7909303</v>
      </c>
      <c r="E15" s="6" t="str">
        <f t="shared" si="1"/>
        <v/>
      </c>
      <c r="F15" s="8"/>
      <c r="G15" s="1">
        <v>538513</v>
      </c>
      <c r="H15" s="7" t="str">
        <f t="shared" si="2"/>
        <v/>
      </c>
      <c r="I15" s="9"/>
      <c r="J15" s="1">
        <v>344756</v>
      </c>
      <c r="K15" s="6" t="str">
        <f t="shared" si="3"/>
        <v/>
      </c>
      <c r="L15" s="8"/>
      <c r="M15" s="1">
        <v>132056</v>
      </c>
    </row>
    <row r="16" spans="1:16" x14ac:dyDescent="0.2">
      <c r="A16" s="4">
        <v>42429</v>
      </c>
      <c r="B16" s="6" t="str">
        <f t="shared" si="0"/>
        <v/>
      </c>
      <c r="C16" s="8"/>
      <c r="D16" s="1">
        <v>7909303</v>
      </c>
      <c r="E16" s="6" t="str">
        <f t="shared" si="1"/>
        <v/>
      </c>
      <c r="F16" s="8"/>
      <c r="G16" s="1">
        <v>538513</v>
      </c>
      <c r="H16" s="7" t="str">
        <f t="shared" si="2"/>
        <v/>
      </c>
      <c r="I16" s="9"/>
      <c r="J16" s="1">
        <v>345544</v>
      </c>
      <c r="K16" s="6" t="str">
        <f t="shared" si="3"/>
        <v/>
      </c>
      <c r="L16" s="8"/>
      <c r="M16" s="1">
        <v>132056</v>
      </c>
    </row>
    <row r="17" spans="1:13" x14ac:dyDescent="0.2">
      <c r="A17" s="4">
        <v>42460</v>
      </c>
      <c r="B17" s="6" t="str">
        <f t="shared" si="0"/>
        <v/>
      </c>
      <c r="C17" s="8"/>
      <c r="D17" s="1">
        <v>7870000</v>
      </c>
      <c r="E17" s="6" t="str">
        <f t="shared" si="1"/>
        <v/>
      </c>
      <c r="F17" s="8"/>
      <c r="G17" s="1">
        <v>542000</v>
      </c>
      <c r="H17" s="7" t="str">
        <f t="shared" si="2"/>
        <v/>
      </c>
      <c r="I17" s="9"/>
      <c r="J17" s="1">
        <v>343683</v>
      </c>
      <c r="K17" s="6" t="str">
        <f t="shared" si="3"/>
        <v/>
      </c>
      <c r="L17" s="8"/>
      <c r="M17" s="1">
        <v>133858</v>
      </c>
    </row>
    <row r="18" spans="1:13" x14ac:dyDescent="0.2">
      <c r="A18" s="4">
        <v>42489</v>
      </c>
      <c r="B18" s="6" t="str">
        <f t="shared" si="0"/>
        <v/>
      </c>
      <c r="C18" s="8"/>
      <c r="D18" s="1">
        <v>7860467</v>
      </c>
      <c r="E18" s="6" t="str">
        <f t="shared" si="1"/>
        <v/>
      </c>
      <c r="F18" s="8"/>
      <c r="G18" s="1">
        <v>534000</v>
      </c>
      <c r="H18" s="7" t="str">
        <f t="shared" si="2"/>
        <v/>
      </c>
      <c r="I18" s="9"/>
      <c r="J18" s="1">
        <v>343440</v>
      </c>
      <c r="K18" s="6" t="str">
        <f t="shared" si="3"/>
        <v/>
      </c>
      <c r="L18" s="8"/>
      <c r="M18" s="1">
        <v>133945</v>
      </c>
    </row>
    <row r="19" spans="1:13" x14ac:dyDescent="0.2">
      <c r="A19" s="4">
        <v>42521</v>
      </c>
      <c r="B19" s="6" t="str">
        <f t="shared" si="0"/>
        <v/>
      </c>
      <c r="C19" s="8"/>
      <c r="D19" s="1">
        <v>7860467</v>
      </c>
      <c r="E19" s="6" t="str">
        <f t="shared" si="1"/>
        <v/>
      </c>
      <c r="F19" s="8"/>
      <c r="G19" s="1">
        <v>534000</v>
      </c>
      <c r="H19" s="7" t="str">
        <f t="shared" si="2"/>
        <v/>
      </c>
      <c r="I19" s="9"/>
      <c r="J19" s="1">
        <v>343440</v>
      </c>
      <c r="K19" s="6" t="str">
        <f t="shared" si="3"/>
        <v/>
      </c>
      <c r="L19" s="8"/>
      <c r="M19" s="1">
        <v>147543</v>
      </c>
    </row>
    <row r="20" spans="1:13" x14ac:dyDescent="0.2">
      <c r="A20" s="4">
        <v>42551</v>
      </c>
      <c r="B20" s="6" t="str">
        <f t="shared" si="0"/>
        <v/>
      </c>
      <c r="C20" s="8"/>
      <c r="D20" s="1">
        <v>7808000</v>
      </c>
      <c r="E20" s="6" t="str">
        <f t="shared" si="1"/>
        <v/>
      </c>
      <c r="F20" s="8"/>
      <c r="G20" s="1">
        <v>534000</v>
      </c>
      <c r="H20" s="7" t="str">
        <f t="shared" si="2"/>
        <v/>
      </c>
      <c r="I20" s="9"/>
      <c r="J20" s="1">
        <v>343171</v>
      </c>
      <c r="K20" s="6" t="str">
        <f t="shared" si="3"/>
        <v/>
      </c>
      <c r="L20" s="8"/>
      <c r="M20" s="1">
        <v>148015</v>
      </c>
    </row>
    <row r="21" spans="1:13" x14ac:dyDescent="0.2">
      <c r="A21" s="4">
        <v>42580</v>
      </c>
      <c r="B21" s="6" t="str">
        <f t="shared" si="0"/>
        <v/>
      </c>
      <c r="C21" s="8"/>
      <c r="D21" s="1">
        <v>7792515</v>
      </c>
      <c r="E21" s="6" t="str">
        <f t="shared" si="1"/>
        <v/>
      </c>
      <c r="F21" s="8"/>
      <c r="G21" s="1">
        <v>535000</v>
      </c>
      <c r="H21" s="7" t="str">
        <f t="shared" si="2"/>
        <v/>
      </c>
      <c r="I21" s="9"/>
      <c r="J21" s="1">
        <v>343604</v>
      </c>
      <c r="K21" s="6" t="str">
        <f t="shared" si="3"/>
        <v/>
      </c>
      <c r="L21" s="8"/>
      <c r="M21" s="1">
        <v>148693</v>
      </c>
    </row>
    <row r="22" spans="1:13" x14ac:dyDescent="0.2">
      <c r="A22" s="4">
        <v>42613</v>
      </c>
      <c r="B22" s="6" t="str">
        <f t="shared" si="0"/>
        <v/>
      </c>
      <c r="C22" s="8"/>
      <c r="D22" s="1">
        <v>7792515</v>
      </c>
      <c r="E22" s="6" t="str">
        <f t="shared" si="1"/>
        <v/>
      </c>
      <c r="F22" s="8"/>
      <c r="G22" s="1">
        <v>535000</v>
      </c>
      <c r="H22" s="7" t="str">
        <f t="shared" si="2"/>
        <v/>
      </c>
      <c r="I22" s="9"/>
      <c r="J22" s="1">
        <v>343604</v>
      </c>
      <c r="K22" s="6" t="str">
        <f t="shared" si="3"/>
        <v/>
      </c>
      <c r="L22" s="8"/>
      <c r="M22" s="1">
        <v>149239</v>
      </c>
    </row>
    <row r="23" spans="1:13" x14ac:dyDescent="0.2">
      <c r="A23" s="4">
        <v>42643</v>
      </c>
      <c r="B23" s="6" t="str">
        <f t="shared" si="0"/>
        <v/>
      </c>
      <c r="C23" s="8"/>
      <c r="D23" s="1">
        <v>7779737</v>
      </c>
      <c r="E23" s="6" t="str">
        <f t="shared" si="1"/>
        <v/>
      </c>
      <c r="F23" s="8"/>
      <c r="G23" s="1">
        <v>535000</v>
      </c>
      <c r="H23" s="7" t="str">
        <f t="shared" si="2"/>
        <v/>
      </c>
      <c r="I23" s="9"/>
      <c r="J23" s="1">
        <v>345036</v>
      </c>
      <c r="K23" s="6" t="str">
        <f t="shared" si="3"/>
        <v/>
      </c>
      <c r="L23" s="8"/>
      <c r="M23" s="1">
        <v>149825</v>
      </c>
    </row>
    <row r="24" spans="1:13" x14ac:dyDescent="0.2">
      <c r="A24" s="4">
        <v>42674</v>
      </c>
      <c r="B24" s="6" t="str">
        <f t="shared" si="0"/>
        <v/>
      </c>
      <c r="C24" s="8"/>
      <c r="D24" s="1">
        <v>7775351</v>
      </c>
      <c r="E24" s="6" t="str">
        <f t="shared" si="1"/>
        <v/>
      </c>
      <c r="F24" s="8"/>
      <c r="G24" s="1">
        <v>539000</v>
      </c>
      <c r="H24" s="7" t="str">
        <f t="shared" si="2"/>
        <v/>
      </c>
      <c r="I24" s="9"/>
      <c r="J24" s="1">
        <v>345091</v>
      </c>
      <c r="K24" s="6" t="str">
        <f t="shared" si="3"/>
        <v/>
      </c>
      <c r="L24" s="8"/>
      <c r="M24" s="1">
        <v>149891</v>
      </c>
    </row>
    <row r="25" spans="1:13" x14ac:dyDescent="0.2">
      <c r="A25" s="4">
        <v>42704</v>
      </c>
      <c r="B25" s="6" t="str">
        <f t="shared" si="0"/>
        <v/>
      </c>
      <c r="C25" s="8"/>
      <c r="D25" s="1">
        <v>7775351</v>
      </c>
      <c r="E25" s="6" t="str">
        <f t="shared" si="1"/>
        <v/>
      </c>
      <c r="F25" s="8"/>
      <c r="G25" s="1">
        <v>539000</v>
      </c>
      <c r="H25" s="7" t="str">
        <f t="shared" si="2"/>
        <v/>
      </c>
      <c r="I25" s="9"/>
      <c r="J25" s="1">
        <v>345091</v>
      </c>
      <c r="K25" s="6" t="str">
        <f t="shared" si="3"/>
        <v/>
      </c>
      <c r="L25" s="8"/>
      <c r="M25" s="1">
        <v>149964</v>
      </c>
    </row>
    <row r="26" spans="1:13" x14ac:dyDescent="0.2">
      <c r="A26" s="4">
        <v>42734</v>
      </c>
      <c r="B26" s="6" t="str">
        <f t="shared" si="0"/>
        <v/>
      </c>
      <c r="C26" s="8"/>
      <c r="D26" s="1">
        <v>7730000</v>
      </c>
      <c r="E26" s="6" t="str">
        <f t="shared" si="1"/>
        <v/>
      </c>
      <c r="F26" s="8"/>
      <c r="G26" s="1">
        <v>539000</v>
      </c>
      <c r="H26" s="7" t="str">
        <f t="shared" si="2"/>
        <v/>
      </c>
      <c r="I26" s="9"/>
      <c r="J26" s="1">
        <v>346864</v>
      </c>
      <c r="K26" s="6" t="str">
        <f t="shared" si="3"/>
        <v/>
      </c>
      <c r="L26" s="8"/>
      <c r="M26" s="1">
        <v>161561</v>
      </c>
    </row>
    <row r="27" spans="1:13" x14ac:dyDescent="0.2">
      <c r="A27" s="4">
        <v>42766</v>
      </c>
      <c r="B27" s="6" t="str">
        <f t="shared" si="0"/>
        <v/>
      </c>
      <c r="C27" s="8"/>
      <c r="D27" s="1">
        <v>7727530</v>
      </c>
      <c r="E27" s="6" t="str">
        <f t="shared" si="1"/>
        <v/>
      </c>
      <c r="F27" s="8"/>
      <c r="G27" s="1">
        <v>585000</v>
      </c>
      <c r="H27" s="7" t="str">
        <f t="shared" si="2"/>
        <v/>
      </c>
      <c r="I27" s="9"/>
      <c r="J27" s="1">
        <v>346933</v>
      </c>
      <c r="K27" s="6" t="str">
        <f t="shared" si="3"/>
        <v/>
      </c>
      <c r="L27" s="8"/>
      <c r="M27" s="1">
        <v>161670</v>
      </c>
    </row>
    <row r="28" spans="1:13" x14ac:dyDescent="0.2">
      <c r="A28" s="4">
        <v>42794</v>
      </c>
      <c r="B28" s="6" t="str">
        <f t="shared" si="0"/>
        <v/>
      </c>
      <c r="C28" s="8"/>
      <c r="D28" s="1">
        <v>7727530</v>
      </c>
      <c r="E28" s="6" t="str">
        <f t="shared" si="1"/>
        <v/>
      </c>
      <c r="F28" s="8"/>
      <c r="G28" s="1">
        <v>589000</v>
      </c>
      <c r="H28" s="7" t="str">
        <f t="shared" si="2"/>
        <v/>
      </c>
      <c r="I28" s="9"/>
      <c r="J28" s="1">
        <v>346933</v>
      </c>
      <c r="K28" s="6" t="str">
        <f t="shared" si="3"/>
        <v/>
      </c>
      <c r="L28" s="8"/>
      <c r="M28" s="1">
        <v>161670</v>
      </c>
    </row>
    <row r="29" spans="1:13" x14ac:dyDescent="0.2">
      <c r="A29" s="4">
        <v>42825</v>
      </c>
      <c r="B29" s="6" t="str">
        <f t="shared" si="0"/>
        <v/>
      </c>
      <c r="C29" s="8"/>
      <c r="D29" s="1">
        <v>7723000</v>
      </c>
      <c r="E29" s="6" t="str">
        <f t="shared" si="1"/>
        <v/>
      </c>
      <c r="F29" s="8"/>
      <c r="G29" s="1">
        <v>566519</v>
      </c>
      <c r="H29" s="7" t="str">
        <f t="shared" si="2"/>
        <v/>
      </c>
      <c r="I29" s="9"/>
      <c r="J29" s="1">
        <v>347344</v>
      </c>
      <c r="K29" s="6" t="str">
        <f t="shared" si="3"/>
        <v/>
      </c>
      <c r="L29" s="8"/>
      <c r="M29" s="1">
        <v>164164</v>
      </c>
    </row>
    <row r="30" spans="1:13" x14ac:dyDescent="0.2">
      <c r="A30" s="4">
        <v>42853</v>
      </c>
      <c r="B30" s="6" t="str">
        <f t="shared" si="0"/>
        <v/>
      </c>
      <c r="C30" s="8"/>
      <c r="D30" s="1">
        <v>7720515</v>
      </c>
      <c r="E30" s="6" t="str">
        <f t="shared" si="1"/>
        <v/>
      </c>
      <c r="F30" s="8"/>
      <c r="G30" s="1">
        <v>595000</v>
      </c>
      <c r="H30" s="7" t="str">
        <f t="shared" si="2"/>
        <v/>
      </c>
      <c r="I30" s="9"/>
      <c r="J30" s="1">
        <v>346967</v>
      </c>
      <c r="K30" s="6" t="str">
        <f t="shared" si="3"/>
        <v/>
      </c>
      <c r="L30" s="8"/>
      <c r="M30" s="1">
        <v>164260</v>
      </c>
    </row>
    <row r="31" spans="1:13" x14ac:dyDescent="0.2">
      <c r="A31" s="4">
        <v>42886</v>
      </c>
      <c r="B31" s="6" t="str">
        <f t="shared" si="0"/>
        <v/>
      </c>
      <c r="C31" s="8"/>
      <c r="D31" s="1">
        <v>7720515</v>
      </c>
      <c r="E31" s="6" t="str">
        <f t="shared" si="1"/>
        <v/>
      </c>
      <c r="F31" s="8"/>
      <c r="G31" s="1">
        <v>595000</v>
      </c>
      <c r="H31" s="7" t="str">
        <f t="shared" si="2"/>
        <v/>
      </c>
      <c r="I31" s="9"/>
      <c r="J31" s="1">
        <v>346967</v>
      </c>
      <c r="K31" s="6" t="str">
        <f t="shared" si="3"/>
        <v/>
      </c>
      <c r="L31" s="8"/>
      <c r="M31" s="1">
        <v>164260</v>
      </c>
    </row>
    <row r="32" spans="1:13" x14ac:dyDescent="0.2">
      <c r="A32" s="4">
        <v>42916</v>
      </c>
      <c r="B32" s="6" t="str">
        <f t="shared" si="0"/>
        <v/>
      </c>
      <c r="C32" s="8"/>
      <c r="D32" s="1">
        <v>7708000</v>
      </c>
      <c r="E32" s="6" t="str">
        <f t="shared" si="1"/>
        <v/>
      </c>
      <c r="F32" s="8"/>
      <c r="G32" s="1">
        <v>595000</v>
      </c>
      <c r="H32" s="7" t="str">
        <f t="shared" si="2"/>
        <v/>
      </c>
      <c r="I32" s="9"/>
      <c r="J32" s="1">
        <v>347732</v>
      </c>
      <c r="K32" s="6" t="str">
        <f t="shared" si="3"/>
        <v/>
      </c>
      <c r="L32" s="8"/>
      <c r="M32" s="1">
        <v>166863</v>
      </c>
    </row>
    <row r="33" spans="1:13" x14ac:dyDescent="0.2">
      <c r="A33" s="4">
        <v>42947</v>
      </c>
      <c r="B33" s="6" t="str">
        <f t="shared" si="0"/>
        <v/>
      </c>
      <c r="C33" s="8"/>
      <c r="D33" s="1">
        <v>7702244</v>
      </c>
      <c r="E33" s="6" t="str">
        <f t="shared" si="1"/>
        <v/>
      </c>
      <c r="F33" s="8"/>
      <c r="G33" s="1">
        <v>600000</v>
      </c>
      <c r="H33" s="7" t="str">
        <f t="shared" si="2"/>
        <v/>
      </c>
      <c r="I33" s="9"/>
      <c r="J33" s="1">
        <v>347734</v>
      </c>
      <c r="K33" s="6" t="str">
        <f t="shared" si="3"/>
        <v/>
      </c>
      <c r="L33" s="8"/>
      <c r="M33" s="1">
        <v>166887</v>
      </c>
    </row>
    <row r="34" spans="1:13" x14ac:dyDescent="0.2">
      <c r="A34" s="4">
        <v>42978</v>
      </c>
      <c r="B34" s="6" t="str">
        <f t="shared" si="0"/>
        <v/>
      </c>
      <c r="C34" s="8"/>
      <c r="D34" s="1">
        <v>7702244</v>
      </c>
      <c r="E34" s="6" t="str">
        <f t="shared" si="1"/>
        <v/>
      </c>
      <c r="F34" s="8"/>
      <c r="G34" s="1">
        <v>600000</v>
      </c>
      <c r="H34" s="7" t="str">
        <f t="shared" si="2"/>
        <v/>
      </c>
      <c r="I34" s="9"/>
      <c r="J34" s="1">
        <v>347734</v>
      </c>
      <c r="K34" s="6" t="str">
        <f t="shared" si="3"/>
        <v/>
      </c>
      <c r="L34" s="8"/>
      <c r="M34" s="1">
        <v>166887</v>
      </c>
    </row>
    <row r="35" spans="1:13" x14ac:dyDescent="0.2">
      <c r="A35" s="4">
        <v>43007</v>
      </c>
      <c r="B35" s="6" t="str">
        <f t="shared" si="0"/>
        <v/>
      </c>
      <c r="C35" s="8"/>
      <c r="D35" s="1">
        <v>7715433</v>
      </c>
      <c r="E35" s="6" t="str">
        <f t="shared" si="1"/>
        <v/>
      </c>
      <c r="F35" s="8"/>
      <c r="G35" s="1">
        <v>600000</v>
      </c>
      <c r="H35" s="7" t="str">
        <f t="shared" si="2"/>
        <v/>
      </c>
      <c r="I35" s="9"/>
      <c r="J35" s="1">
        <v>349473</v>
      </c>
      <c r="K35" s="6" t="str">
        <f t="shared" si="3"/>
        <v/>
      </c>
      <c r="L35" s="8"/>
      <c r="M35" s="1">
        <v>168017</v>
      </c>
    </row>
    <row r="36" spans="1:13" x14ac:dyDescent="0.2">
      <c r="A36" s="4">
        <v>43039</v>
      </c>
      <c r="B36" s="6" t="str">
        <f t="shared" si="0"/>
        <v/>
      </c>
      <c r="C36" s="8"/>
      <c r="D36" s="1">
        <v>7714590</v>
      </c>
      <c r="E36" s="6" t="str">
        <f t="shared" si="1"/>
        <v/>
      </c>
      <c r="F36" s="8"/>
      <c r="G36" s="1">
        <v>606000</v>
      </c>
      <c r="H36" s="7" t="str">
        <f t="shared" si="2"/>
        <v/>
      </c>
      <c r="I36" s="9"/>
      <c r="J36" s="1">
        <v>349479</v>
      </c>
      <c r="K36" s="6" t="str">
        <f t="shared" si="3"/>
        <v/>
      </c>
      <c r="L36" s="8"/>
      <c r="M36" s="1">
        <v>168067</v>
      </c>
    </row>
    <row r="37" spans="1:13" x14ac:dyDescent="0.2">
      <c r="A37" s="4">
        <v>43069</v>
      </c>
      <c r="B37" s="6" t="str">
        <f t="shared" si="0"/>
        <v/>
      </c>
      <c r="C37" s="8"/>
      <c r="D37" s="1">
        <v>7714590</v>
      </c>
      <c r="E37" s="6" t="str">
        <f t="shared" si="1"/>
        <v/>
      </c>
      <c r="F37" s="8"/>
      <c r="G37" s="1">
        <v>606000</v>
      </c>
      <c r="H37" s="7" t="str">
        <f t="shared" si="2"/>
        <v/>
      </c>
      <c r="I37" s="9"/>
      <c r="J37" s="1">
        <v>349479</v>
      </c>
      <c r="K37" s="6" t="str">
        <f t="shared" si="3"/>
        <v/>
      </c>
      <c r="L37" s="8"/>
      <c r="M37" s="1">
        <v>168067</v>
      </c>
    </row>
    <row r="38" spans="1:13" x14ac:dyDescent="0.2">
      <c r="A38" s="4">
        <v>43098</v>
      </c>
      <c r="B38" s="6" t="str">
        <f t="shared" si="0"/>
        <v/>
      </c>
      <c r="C38" s="8"/>
      <c r="D38" s="1">
        <v>7705000</v>
      </c>
      <c r="E38" s="6" t="str">
        <f t="shared" si="1"/>
        <v/>
      </c>
      <c r="F38" s="8"/>
      <c r="G38" s="1">
        <v>606000</v>
      </c>
      <c r="H38" s="7" t="str">
        <f t="shared" si="2"/>
        <v/>
      </c>
      <c r="I38" s="9"/>
      <c r="J38" s="1">
        <v>349341</v>
      </c>
      <c r="K38" s="6" t="str">
        <f t="shared" si="3"/>
        <v/>
      </c>
      <c r="L38" s="8"/>
      <c r="M38" s="1">
        <v>168797</v>
      </c>
    </row>
    <row r="39" spans="1:13" x14ac:dyDescent="0.2">
      <c r="A39" s="4">
        <v>43131</v>
      </c>
      <c r="B39" s="6" t="str">
        <f t="shared" si="0"/>
        <v/>
      </c>
      <c r="C39" s="8"/>
      <c r="D39" s="1">
        <v>7699793</v>
      </c>
      <c r="E39" s="6" t="str">
        <f t="shared" si="1"/>
        <v/>
      </c>
      <c r="F39" s="8"/>
      <c r="G39" s="1">
        <v>606215</v>
      </c>
      <c r="H39" s="7" t="str">
        <f t="shared" si="2"/>
        <v/>
      </c>
      <c r="I39" s="9"/>
      <c r="J39" s="1">
        <v>349844</v>
      </c>
      <c r="K39" s="6" t="str">
        <f t="shared" si="3"/>
        <v/>
      </c>
      <c r="L39" s="8"/>
      <c r="M39" s="1">
        <v>168797</v>
      </c>
    </row>
    <row r="40" spans="1:13" x14ac:dyDescent="0.2">
      <c r="A40" s="4">
        <v>43159</v>
      </c>
      <c r="B40" s="6" t="str">
        <f t="shared" si="0"/>
        <v/>
      </c>
      <c r="C40" s="8"/>
      <c r="D40" s="1">
        <v>7699793</v>
      </c>
      <c r="E40" s="6" t="str">
        <f t="shared" si="1"/>
        <v/>
      </c>
      <c r="F40" s="8"/>
      <c r="G40" s="1">
        <v>605000</v>
      </c>
      <c r="H40" s="7" t="str">
        <f t="shared" si="2"/>
        <v/>
      </c>
      <c r="I40" s="9"/>
      <c r="J40" s="1">
        <v>349844</v>
      </c>
      <c r="K40" s="6" t="str">
        <f t="shared" si="3"/>
        <v/>
      </c>
      <c r="L40" s="8"/>
      <c r="M40" s="1">
        <v>168920</v>
      </c>
    </row>
    <row r="41" spans="1:13" x14ac:dyDescent="0.2">
      <c r="A41" s="4">
        <v>43188</v>
      </c>
      <c r="B41" s="6" t="str">
        <f t="shared" si="0"/>
        <v/>
      </c>
      <c r="C41" s="8"/>
      <c r="D41" s="1">
        <v>7690000</v>
      </c>
      <c r="E41" s="6" t="str">
        <f t="shared" si="1"/>
        <v/>
      </c>
      <c r="F41" s="8"/>
      <c r="G41" s="1">
        <v>605000</v>
      </c>
      <c r="H41" s="7" t="str">
        <f t="shared" si="2"/>
        <v/>
      </c>
      <c r="I41" s="9"/>
      <c r="J41" s="1">
        <v>349353</v>
      </c>
      <c r="K41" s="6" t="str">
        <f t="shared" si="3"/>
        <v/>
      </c>
      <c r="L41" s="8"/>
      <c r="M41" s="1">
        <v>169750</v>
      </c>
    </row>
    <row r="42" spans="1:13" x14ac:dyDescent="0.2">
      <c r="A42" s="4">
        <v>43220</v>
      </c>
      <c r="B42" s="6" t="str">
        <f t="shared" si="0"/>
        <v/>
      </c>
      <c r="C42" s="8"/>
      <c r="D42" s="1">
        <v>7683198</v>
      </c>
      <c r="E42" s="6" t="str">
        <f t="shared" si="1"/>
        <v/>
      </c>
      <c r="F42" s="8"/>
      <c r="G42" s="1">
        <v>607000</v>
      </c>
      <c r="H42" s="7" t="str">
        <f t="shared" si="2"/>
        <v/>
      </c>
      <c r="I42" s="9"/>
      <c r="J42" s="1">
        <v>348952</v>
      </c>
      <c r="K42" s="6" t="str">
        <f t="shared" si="3"/>
        <v/>
      </c>
      <c r="L42" s="8"/>
      <c r="M42" s="1">
        <v>169794</v>
      </c>
    </row>
    <row r="43" spans="1:13" x14ac:dyDescent="0.2">
      <c r="A43" s="4">
        <v>43251</v>
      </c>
      <c r="B43" s="6" t="str">
        <f t="shared" si="0"/>
        <v/>
      </c>
      <c r="C43" s="8"/>
      <c r="D43" s="1">
        <v>7683198</v>
      </c>
      <c r="E43" s="6" t="str">
        <f t="shared" si="1"/>
        <v/>
      </c>
      <c r="F43" s="8"/>
      <c r="G43" s="1">
        <v>607000</v>
      </c>
      <c r="H43" s="7" t="str">
        <f t="shared" si="2"/>
        <v/>
      </c>
      <c r="I43" s="9"/>
      <c r="J43" s="1">
        <v>348952</v>
      </c>
      <c r="K43" s="6" t="str">
        <f t="shared" si="3"/>
        <v/>
      </c>
      <c r="L43" s="8"/>
      <c r="M43" s="1">
        <v>169794</v>
      </c>
    </row>
    <row r="44" spans="1:13" x14ac:dyDescent="0.2">
      <c r="A44" s="4">
        <v>43280</v>
      </c>
      <c r="B44" s="6" t="str">
        <f t="shared" si="0"/>
        <v/>
      </c>
      <c r="C44" s="8"/>
      <c r="D44" s="1">
        <v>7677000</v>
      </c>
      <c r="E44" s="6" t="str">
        <f t="shared" si="1"/>
        <v/>
      </c>
      <c r="F44" s="8"/>
      <c r="G44" s="1">
        <v>607000</v>
      </c>
      <c r="H44" s="7" t="str">
        <f t="shared" si="2"/>
        <v/>
      </c>
      <c r="I44" s="9"/>
      <c r="J44" s="1">
        <v>350160</v>
      </c>
      <c r="K44" s="6" t="str">
        <f t="shared" si="3"/>
        <v/>
      </c>
      <c r="L44" s="8"/>
      <c r="M44" s="1">
        <v>170516</v>
      </c>
    </row>
    <row r="45" spans="1:13" x14ac:dyDescent="0.2">
      <c r="A45" s="4">
        <v>43312</v>
      </c>
      <c r="B45" s="6" t="str">
        <f t="shared" si="0"/>
        <v/>
      </c>
      <c r="C45" s="8"/>
      <c r="D45" s="1">
        <v>7668217</v>
      </c>
      <c r="E45" s="6" t="str">
        <f t="shared" si="1"/>
        <v/>
      </c>
      <c r="F45" s="8"/>
      <c r="G45" s="1">
        <v>608000</v>
      </c>
      <c r="H45" s="7" t="str">
        <f t="shared" si="2"/>
        <v/>
      </c>
      <c r="I45" s="9"/>
      <c r="J45" s="1">
        <v>349883</v>
      </c>
      <c r="K45" s="6" t="str">
        <f t="shared" si="3"/>
        <v/>
      </c>
      <c r="L45" s="8"/>
      <c r="M45" s="1">
        <v>170593</v>
      </c>
    </row>
    <row r="46" spans="1:13" x14ac:dyDescent="0.2">
      <c r="A46" s="4">
        <v>43343</v>
      </c>
      <c r="B46" s="6" t="str">
        <f t="shared" si="0"/>
        <v/>
      </c>
      <c r="C46" s="8"/>
      <c r="D46" s="1">
        <v>7668217</v>
      </c>
      <c r="E46" s="6" t="str">
        <f t="shared" si="1"/>
        <v/>
      </c>
      <c r="F46" s="8"/>
      <c r="G46" s="1">
        <v>608000</v>
      </c>
      <c r="H46" s="7" t="str">
        <f t="shared" si="2"/>
        <v/>
      </c>
      <c r="I46" s="9"/>
      <c r="J46" s="1">
        <v>349883</v>
      </c>
      <c r="K46" s="6" t="str">
        <f t="shared" si="3"/>
        <v/>
      </c>
      <c r="L46" s="8"/>
      <c r="M46" s="1">
        <v>170593</v>
      </c>
    </row>
    <row r="47" spans="1:13" x14ac:dyDescent="0.2">
      <c r="A47" s="4">
        <v>43371</v>
      </c>
      <c r="B47" s="6" t="str">
        <f t="shared" si="0"/>
        <v/>
      </c>
      <c r="C47" s="8"/>
      <c r="D47" s="1">
        <v>7680000</v>
      </c>
      <c r="E47" s="6" t="str">
        <f t="shared" si="1"/>
        <v/>
      </c>
      <c r="F47" s="8"/>
      <c r="G47" s="1">
        <v>608000</v>
      </c>
      <c r="H47" s="7" t="str">
        <f t="shared" si="2"/>
        <v/>
      </c>
      <c r="I47" s="9"/>
      <c r="J47" s="1">
        <v>349341</v>
      </c>
      <c r="K47" s="6" t="str">
        <f t="shared" si="3"/>
        <v/>
      </c>
      <c r="L47" s="8"/>
      <c r="M47" s="1">
        <v>171578</v>
      </c>
    </row>
    <row r="48" spans="1:13" x14ac:dyDescent="0.2">
      <c r="A48" s="4">
        <v>43404</v>
      </c>
      <c r="B48" s="6" t="str">
        <f t="shared" si="0"/>
        <v/>
      </c>
      <c r="C48" s="8"/>
      <c r="D48" s="1">
        <v>7676219</v>
      </c>
      <c r="E48" s="6" t="str">
        <f t="shared" si="1"/>
        <v/>
      </c>
      <c r="F48" s="8"/>
      <c r="G48" s="1">
        <v>610000</v>
      </c>
      <c r="H48" s="7" t="str">
        <f t="shared" si="2"/>
        <v/>
      </c>
      <c r="I48" s="9"/>
      <c r="J48" s="1">
        <v>349615</v>
      </c>
      <c r="K48" s="6" t="str">
        <f t="shared" si="3"/>
        <v/>
      </c>
      <c r="L48" s="8"/>
      <c r="M48" s="1">
        <v>171733</v>
      </c>
    </row>
    <row r="49" spans="1:13" x14ac:dyDescent="0.2">
      <c r="A49" s="4">
        <v>43434</v>
      </c>
      <c r="B49" s="6" t="str">
        <f t="shared" si="0"/>
        <v/>
      </c>
      <c r="C49" s="8"/>
      <c r="D49" s="1">
        <v>7676219</v>
      </c>
      <c r="E49" s="6" t="str">
        <f t="shared" si="1"/>
        <v/>
      </c>
      <c r="F49" s="8"/>
      <c r="G49" s="1">
        <v>610000</v>
      </c>
      <c r="H49" s="7" t="str">
        <f t="shared" si="2"/>
        <v/>
      </c>
      <c r="I49" s="9"/>
      <c r="J49" s="1">
        <v>349615</v>
      </c>
      <c r="K49" s="6" t="str">
        <f t="shared" si="3"/>
        <v/>
      </c>
      <c r="L49" s="8"/>
      <c r="M49" s="1">
        <v>171733</v>
      </c>
    </row>
    <row r="50" spans="1:13" x14ac:dyDescent="0.2">
      <c r="A50" s="4">
        <v>43465</v>
      </c>
      <c r="B50" s="6" t="str">
        <f t="shared" si="0"/>
        <v/>
      </c>
      <c r="C50" s="8"/>
      <c r="D50" s="1">
        <v>7683000</v>
      </c>
      <c r="E50" s="6" t="str">
        <f t="shared" si="1"/>
        <v/>
      </c>
      <c r="F50" s="8"/>
      <c r="G50" s="1">
        <v>610000</v>
      </c>
      <c r="H50" s="7" t="str">
        <f t="shared" si="2"/>
        <v/>
      </c>
      <c r="I50" s="9"/>
      <c r="J50" s="1">
        <v>349678</v>
      </c>
      <c r="K50" s="6" t="str">
        <f t="shared" si="3"/>
        <v/>
      </c>
      <c r="L50" s="8"/>
      <c r="M50" s="1">
        <v>172602</v>
      </c>
    </row>
    <row r="51" spans="1:13" x14ac:dyDescent="0.2">
      <c r="A51" s="4">
        <v>43496</v>
      </c>
      <c r="B51" s="6" t="str">
        <f t="shared" si="0"/>
        <v/>
      </c>
      <c r="C51" s="8"/>
      <c r="D51" s="1">
        <v>7672213</v>
      </c>
      <c r="E51" s="6" t="str">
        <f t="shared" si="1"/>
        <v/>
      </c>
      <c r="F51" s="8"/>
      <c r="G51" s="1">
        <v>610000</v>
      </c>
      <c r="H51" s="7" t="str">
        <f t="shared" si="2"/>
        <v/>
      </c>
      <c r="I51" s="9"/>
      <c r="J51" s="1">
        <v>349291</v>
      </c>
      <c r="K51" s="6" t="str">
        <f t="shared" si="3"/>
        <v/>
      </c>
      <c r="L51" s="8"/>
      <c r="M51" s="1">
        <v>172602</v>
      </c>
    </row>
    <row r="52" spans="1:13" x14ac:dyDescent="0.2">
      <c r="A52" s="4">
        <v>43524</v>
      </c>
      <c r="B52" s="6" t="str">
        <f t="shared" si="0"/>
        <v/>
      </c>
      <c r="C52" s="8"/>
      <c r="D52" s="1">
        <v>7672213</v>
      </c>
      <c r="E52" s="6" t="str">
        <f t="shared" si="1"/>
        <v/>
      </c>
      <c r="F52" s="8"/>
      <c r="G52" s="1">
        <v>606000</v>
      </c>
      <c r="H52" s="7" t="str">
        <f t="shared" si="2"/>
        <v/>
      </c>
      <c r="I52" s="9"/>
      <c r="J52" s="1">
        <v>349291</v>
      </c>
      <c r="K52" s="6" t="str">
        <f t="shared" si="3"/>
        <v/>
      </c>
      <c r="L52" s="8"/>
      <c r="M52" s="1">
        <v>172721</v>
      </c>
    </row>
    <row r="53" spans="1:13" x14ac:dyDescent="0.2">
      <c r="A53" s="4">
        <v>43553</v>
      </c>
      <c r="B53" s="6" t="str">
        <f t="shared" si="0"/>
        <v/>
      </c>
      <c r="C53" s="8"/>
      <c r="D53" s="1">
        <v>7666000</v>
      </c>
      <c r="E53" s="6" t="str">
        <f t="shared" si="1"/>
        <v/>
      </c>
      <c r="F53" s="8"/>
      <c r="G53" s="1">
        <v>606000</v>
      </c>
      <c r="H53" s="7" t="str">
        <f t="shared" si="2"/>
        <v/>
      </c>
      <c r="I53" s="9"/>
      <c r="J53" s="1">
        <v>348811</v>
      </c>
      <c r="K53" s="6" t="str">
        <f t="shared" si="3"/>
        <v/>
      </c>
      <c r="L53" s="8"/>
      <c r="M53" s="1">
        <v>173682</v>
      </c>
    </row>
    <row r="54" spans="1:13" x14ac:dyDescent="0.2">
      <c r="A54" s="4">
        <v>43585</v>
      </c>
      <c r="B54" s="6" t="str">
        <f t="shared" si="0"/>
        <v/>
      </c>
      <c r="C54" s="8"/>
      <c r="D54" s="1">
        <v>7662818</v>
      </c>
      <c r="E54" s="6" t="str">
        <f t="shared" si="1"/>
        <v/>
      </c>
      <c r="F54" s="8"/>
      <c r="G54" s="1">
        <v>609000</v>
      </c>
      <c r="H54" s="7" t="str">
        <f t="shared" si="2"/>
        <v/>
      </c>
      <c r="I54" s="9"/>
      <c r="J54" s="1">
        <v>348264</v>
      </c>
      <c r="K54" s="6" t="str">
        <f t="shared" si="3"/>
        <v/>
      </c>
      <c r="L54" s="8"/>
      <c r="M54" s="1">
        <v>173721</v>
      </c>
    </row>
    <row r="55" spans="1:13" x14ac:dyDescent="0.2">
      <c r="A55" s="4">
        <v>43616</v>
      </c>
      <c r="B55" s="6" t="str">
        <f t="shared" si="0"/>
        <v/>
      </c>
      <c r="C55" s="8"/>
      <c r="D55" s="1">
        <v>7662818</v>
      </c>
      <c r="E55" s="6" t="str">
        <f t="shared" si="1"/>
        <v/>
      </c>
      <c r="F55" s="8"/>
      <c r="G55" s="1">
        <v>609000</v>
      </c>
      <c r="H55" s="7" t="str">
        <f t="shared" si="2"/>
        <v/>
      </c>
      <c r="I55" s="9"/>
      <c r="J55" s="1">
        <v>348264</v>
      </c>
      <c r="K55" s="6" t="str">
        <f t="shared" si="3"/>
        <v/>
      </c>
      <c r="L55" s="8"/>
      <c r="M55" s="1">
        <v>177270</v>
      </c>
    </row>
    <row r="56" spans="1:13" x14ac:dyDescent="0.2">
      <c r="A56" s="4">
        <v>43644</v>
      </c>
      <c r="B56" s="6" t="str">
        <f t="shared" si="0"/>
        <v/>
      </c>
      <c r="C56" s="8"/>
      <c r="D56" s="1">
        <v>7643000</v>
      </c>
      <c r="E56" s="6" t="str">
        <f t="shared" si="1"/>
        <v/>
      </c>
      <c r="F56" s="8"/>
      <c r="G56" s="1">
        <v>609000</v>
      </c>
      <c r="H56" s="7" t="str">
        <f t="shared" si="2"/>
        <v/>
      </c>
      <c r="I56" s="9"/>
      <c r="J56" s="1">
        <v>348008</v>
      </c>
      <c r="K56" s="6" t="str">
        <f t="shared" si="3"/>
        <v/>
      </c>
      <c r="L56" s="8"/>
      <c r="M56" s="1">
        <v>179118</v>
      </c>
    </row>
    <row r="57" spans="1:13" x14ac:dyDescent="0.2">
      <c r="A57" s="4">
        <v>43677</v>
      </c>
      <c r="B57" s="6" t="str">
        <f t="shared" si="0"/>
        <v/>
      </c>
      <c r="C57" s="8"/>
      <c r="D57" s="1">
        <v>7635409</v>
      </c>
      <c r="E57" s="6" t="str">
        <f t="shared" si="1"/>
        <v/>
      </c>
      <c r="F57" s="8"/>
      <c r="G57" s="1">
        <v>609000</v>
      </c>
      <c r="H57" s="7" t="str">
        <f t="shared" si="2"/>
        <v/>
      </c>
      <c r="I57" s="9"/>
      <c r="J57" s="1">
        <v>347345</v>
      </c>
      <c r="K57" s="6" t="str">
        <f t="shared" si="3"/>
        <v/>
      </c>
      <c r="L57" s="8"/>
      <c r="M57" s="1">
        <v>179127</v>
      </c>
    </row>
    <row r="58" spans="1:13" x14ac:dyDescent="0.2">
      <c r="A58" s="4">
        <v>43707</v>
      </c>
      <c r="B58" s="6" t="str">
        <f t="shared" si="0"/>
        <v/>
      </c>
      <c r="C58" s="8"/>
      <c r="D58" s="1">
        <v>7635409</v>
      </c>
      <c r="E58" s="6" t="str">
        <f t="shared" si="1"/>
        <v/>
      </c>
      <c r="F58" s="8"/>
      <c r="G58" s="1">
        <v>609000</v>
      </c>
      <c r="H58" s="7" t="str">
        <f t="shared" si="2"/>
        <v/>
      </c>
      <c r="I58" s="9"/>
      <c r="J58" s="1">
        <v>347345</v>
      </c>
      <c r="K58" s="6" t="str">
        <f t="shared" si="3"/>
        <v/>
      </c>
      <c r="L58" s="8"/>
      <c r="M58" s="1">
        <v>179127</v>
      </c>
    </row>
    <row r="59" spans="1:13" x14ac:dyDescent="0.2">
      <c r="A59" s="4">
        <v>43738</v>
      </c>
      <c r="B59" s="6" t="str">
        <f t="shared" si="0"/>
        <v/>
      </c>
      <c r="C59" s="8"/>
      <c r="D59" s="1">
        <v>7634000</v>
      </c>
      <c r="E59" s="6" t="str">
        <f t="shared" si="1"/>
        <v/>
      </c>
      <c r="F59" s="8"/>
      <c r="G59" s="1">
        <v>609000</v>
      </c>
      <c r="H59" s="7" t="str">
        <f t="shared" si="2"/>
        <v/>
      </c>
      <c r="I59" s="9"/>
      <c r="J59" s="1">
        <v>344774</v>
      </c>
      <c r="K59" s="6" t="str">
        <f t="shared" si="3"/>
        <v/>
      </c>
      <c r="L59" s="8"/>
      <c r="M59" s="1">
        <v>180000</v>
      </c>
    </row>
    <row r="60" spans="1:13" x14ac:dyDescent="0.2">
      <c r="A60" s="4">
        <v>43769</v>
      </c>
      <c r="B60" s="6" t="str">
        <f t="shared" si="0"/>
        <v/>
      </c>
      <c r="C60" s="8"/>
      <c r="D60" s="1">
        <v>7628806</v>
      </c>
      <c r="E60" s="6" t="str">
        <f t="shared" si="1"/>
        <v/>
      </c>
      <c r="F60" s="8"/>
      <c r="G60" s="1">
        <v>612000</v>
      </c>
      <c r="H60" s="7" t="str">
        <f t="shared" si="2"/>
        <v/>
      </c>
      <c r="I60" s="9"/>
      <c r="J60" s="1">
        <v>343551</v>
      </c>
      <c r="K60" s="6" t="str">
        <f t="shared" si="3"/>
        <v/>
      </c>
      <c r="L60" s="8"/>
      <c r="M60" s="1">
        <v>180245</v>
      </c>
    </row>
    <row r="61" spans="1:13" x14ac:dyDescent="0.2">
      <c r="A61" s="4">
        <v>43798</v>
      </c>
      <c r="B61" s="6" t="str">
        <f t="shared" si="0"/>
        <v/>
      </c>
      <c r="C61" s="8"/>
      <c r="D61" s="1">
        <v>7628806</v>
      </c>
      <c r="E61" s="6" t="str">
        <f t="shared" si="1"/>
        <v/>
      </c>
      <c r="F61" s="8"/>
      <c r="G61" s="1">
        <v>612000</v>
      </c>
      <c r="H61" s="7" t="str">
        <f t="shared" si="2"/>
        <v/>
      </c>
      <c r="I61" s="9"/>
      <c r="J61" s="1">
        <v>343551</v>
      </c>
      <c r="K61" s="6" t="str">
        <f t="shared" si="3"/>
        <v/>
      </c>
      <c r="L61" s="8"/>
      <c r="M61" s="1">
        <v>180245</v>
      </c>
    </row>
    <row r="62" spans="1:13" x14ac:dyDescent="0.2">
      <c r="A62" s="4">
        <v>43830</v>
      </c>
      <c r="B62" s="6" t="str">
        <f t="shared" si="0"/>
        <v/>
      </c>
      <c r="C62" s="8"/>
      <c r="D62" s="1">
        <v>7611000</v>
      </c>
      <c r="E62" s="6" t="str">
        <f t="shared" si="1"/>
        <v/>
      </c>
      <c r="F62" s="8"/>
      <c r="G62" s="1">
        <v>612000</v>
      </c>
      <c r="H62" s="7" t="str">
        <f t="shared" si="2"/>
        <v/>
      </c>
      <c r="I62" s="9"/>
      <c r="J62" s="1">
        <v>342066</v>
      </c>
      <c r="K62" s="6" t="str">
        <f t="shared" si="3"/>
        <v/>
      </c>
      <c r="L62" s="8"/>
      <c r="M62" s="1">
        <v>181062</v>
      </c>
    </row>
    <row r="63" spans="1:13" x14ac:dyDescent="0.2">
      <c r="A63" s="4">
        <v>43861</v>
      </c>
      <c r="B63" s="6" t="str">
        <f t="shared" si="0"/>
        <v/>
      </c>
      <c r="C63" s="8"/>
      <c r="D63" s="1">
        <v>7606047</v>
      </c>
      <c r="E63" s="6" t="str">
        <f t="shared" si="1"/>
        <v/>
      </c>
      <c r="F63" s="8"/>
      <c r="G63" s="1">
        <v>612000</v>
      </c>
      <c r="H63" s="7" t="str">
        <f t="shared" si="2"/>
        <v/>
      </c>
      <c r="I63" s="9"/>
      <c r="J63" s="1">
        <v>340980</v>
      </c>
      <c r="K63" s="6" t="str">
        <f t="shared" si="3"/>
        <v/>
      </c>
      <c r="L63" s="8"/>
      <c r="M63" s="1">
        <v>181062</v>
      </c>
    </row>
    <row r="64" spans="1:13" x14ac:dyDescent="0.2">
      <c r="A64" s="4">
        <v>43889</v>
      </c>
      <c r="B64" s="6" t="str">
        <f t="shared" si="0"/>
        <v/>
      </c>
      <c r="C64" s="8"/>
      <c r="D64" s="1">
        <v>7606047</v>
      </c>
      <c r="E64" s="6" t="str">
        <f t="shared" si="1"/>
        <v/>
      </c>
      <c r="F64" s="8"/>
      <c r="G64" s="1">
        <v>612000</v>
      </c>
      <c r="H64" s="7" t="str">
        <f t="shared" si="2"/>
        <v/>
      </c>
      <c r="I64" s="9"/>
      <c r="J64" s="1">
        <v>340980</v>
      </c>
      <c r="K64" s="6" t="str">
        <f t="shared" si="3"/>
        <v/>
      </c>
      <c r="L64" s="8"/>
      <c r="M64" s="1">
        <v>184110</v>
      </c>
    </row>
    <row r="65" spans="1:13" x14ac:dyDescent="0.2">
      <c r="A65" s="4">
        <v>43921</v>
      </c>
      <c r="B65" s="6" t="str">
        <f t="shared" si="0"/>
        <v/>
      </c>
      <c r="C65" s="8"/>
      <c r="D65" s="1">
        <v>7590000</v>
      </c>
      <c r="E65" s="6" t="str">
        <f t="shared" si="1"/>
        <v/>
      </c>
      <c r="F65" s="8"/>
      <c r="G65" s="1">
        <v>615108</v>
      </c>
      <c r="H65" s="7" t="str">
        <f t="shared" si="2"/>
        <v/>
      </c>
      <c r="I65" s="9"/>
      <c r="J65" s="1">
        <v>337518</v>
      </c>
      <c r="K65" s="6" t="str">
        <f t="shared" si="3"/>
        <v/>
      </c>
      <c r="L65" s="8"/>
      <c r="M65" s="1">
        <v>185000</v>
      </c>
    </row>
    <row r="66" spans="1:13" x14ac:dyDescent="0.2">
      <c r="A66" s="4">
        <v>43951</v>
      </c>
      <c r="B66" s="6" t="str">
        <f t="shared" si="0"/>
        <v/>
      </c>
      <c r="C66" s="8"/>
      <c r="D66" s="1">
        <v>7583440</v>
      </c>
      <c r="E66" s="6" t="str">
        <f t="shared" si="1"/>
        <v/>
      </c>
      <c r="F66" s="8"/>
      <c r="G66" s="1">
        <v>615000</v>
      </c>
      <c r="H66" s="7" t="str">
        <f t="shared" si="2"/>
        <v/>
      </c>
      <c r="I66" s="9"/>
      <c r="J66" s="1">
        <v>336162</v>
      </c>
      <c r="K66" s="6" t="str">
        <f t="shared" si="3"/>
        <v/>
      </c>
      <c r="L66" s="8"/>
      <c r="M66" s="1">
        <v>185371</v>
      </c>
    </row>
    <row r="67" spans="1:13" x14ac:dyDescent="0.2">
      <c r="A67" s="4">
        <v>43980</v>
      </c>
      <c r="B67" s="6" t="str">
        <f t="shared" si="0"/>
        <v/>
      </c>
      <c r="C67" s="8"/>
      <c r="D67" s="1">
        <v>7583440</v>
      </c>
      <c r="E67" s="6" t="str">
        <f t="shared" si="1"/>
        <v/>
      </c>
      <c r="F67" s="8"/>
      <c r="G67" s="1">
        <v>615000</v>
      </c>
      <c r="H67" s="7" t="str">
        <f t="shared" si="2"/>
        <v/>
      </c>
      <c r="I67" s="9"/>
      <c r="J67" s="1">
        <v>336162</v>
      </c>
      <c r="K67" s="6" t="str">
        <f t="shared" si="3"/>
        <v/>
      </c>
      <c r="L67" s="8"/>
      <c r="M67" s="1">
        <v>185371</v>
      </c>
    </row>
    <row r="68" spans="1:13" x14ac:dyDescent="0.2">
      <c r="A68" s="4">
        <v>44012</v>
      </c>
      <c r="B68" s="6" t="str">
        <f t="shared" si="0"/>
        <v/>
      </c>
      <c r="C68" s="8"/>
      <c r="D68" s="1">
        <v>7571000</v>
      </c>
      <c r="E68" s="6" t="str">
        <f t="shared" si="1"/>
        <v/>
      </c>
      <c r="F68" s="8"/>
      <c r="G68" s="1">
        <v>615000</v>
      </c>
      <c r="H68" s="7" t="str">
        <f t="shared" si="2"/>
        <v/>
      </c>
      <c r="I68" s="9"/>
      <c r="J68" s="1">
        <v>334692</v>
      </c>
      <c r="K68" s="6" t="str">
        <f t="shared" si="3"/>
        <v/>
      </c>
      <c r="L68" s="8"/>
      <c r="M68" s="1">
        <v>186000</v>
      </c>
    </row>
    <row r="69" spans="1:13" x14ac:dyDescent="0.2">
      <c r="A69" s="4">
        <v>44043</v>
      </c>
      <c r="B69" s="6" t="str">
        <f t="shared" ref="B69:B122" si="4">IF(D69/D68&gt;1.99,1,"")</f>
        <v/>
      </c>
      <c r="C69" s="8"/>
      <c r="D69" s="1">
        <v>7567653</v>
      </c>
      <c r="E69" s="6" t="str">
        <f t="shared" ref="E69:E122" si="5">IF(G69/G68&gt;1.99,1,"")</f>
        <v/>
      </c>
      <c r="F69" s="8"/>
      <c r="G69" s="1">
        <v>617000</v>
      </c>
      <c r="H69" s="7" t="str">
        <f t="shared" ref="H69:H122" si="6">IF(J69/J68&gt;1.99,1,"")</f>
        <v/>
      </c>
      <c r="I69" s="9"/>
      <c r="J69" s="1">
        <v>333631</v>
      </c>
      <c r="K69" s="6" t="str">
        <f t="shared" ref="K69:K122" si="7">IF(M69/M68&gt;1.99,1,"")</f>
        <v/>
      </c>
      <c r="L69" s="8"/>
      <c r="M69" s="1">
        <v>186362</v>
      </c>
    </row>
    <row r="70" spans="1:13" x14ac:dyDescent="0.2">
      <c r="A70" s="4">
        <v>44074</v>
      </c>
      <c r="B70" s="6" t="str">
        <f t="shared" si="4"/>
        <v/>
      </c>
      <c r="C70" s="8"/>
      <c r="D70" s="1">
        <v>7567653</v>
      </c>
      <c r="E70" s="6" t="str">
        <f t="shared" si="5"/>
        <v/>
      </c>
      <c r="F70" s="8"/>
      <c r="G70" s="1">
        <v>617000</v>
      </c>
      <c r="H70" s="7" t="str">
        <f t="shared" si="6"/>
        <v/>
      </c>
      <c r="I70" s="9"/>
      <c r="J70" s="1">
        <v>333631</v>
      </c>
      <c r="K70" s="6">
        <f t="shared" si="7"/>
        <v>1</v>
      </c>
      <c r="L70" s="14">
        <f>M70/M69</f>
        <v>4.9999946340992265</v>
      </c>
      <c r="M70" s="1">
        <v>931809</v>
      </c>
    </row>
    <row r="71" spans="1:13" x14ac:dyDescent="0.2">
      <c r="A71" s="4">
        <v>44104</v>
      </c>
      <c r="B71" s="6" t="str">
        <f t="shared" si="4"/>
        <v/>
      </c>
      <c r="C71" s="8"/>
      <c r="D71" s="1">
        <v>7564000</v>
      </c>
      <c r="E71" s="6" t="str">
        <f t="shared" si="5"/>
        <v/>
      </c>
      <c r="F71" s="8"/>
      <c r="G71" s="1">
        <v>617000</v>
      </c>
      <c r="H71" s="7" t="str">
        <f t="shared" si="6"/>
        <v/>
      </c>
      <c r="I71" s="9"/>
      <c r="J71" s="1">
        <v>331168</v>
      </c>
      <c r="K71" s="6" t="str">
        <f t="shared" si="7"/>
        <v/>
      </c>
      <c r="L71" s="8"/>
      <c r="M71" s="1">
        <v>948000</v>
      </c>
    </row>
    <row r="72" spans="1:13" x14ac:dyDescent="0.2">
      <c r="A72" s="4">
        <v>44134</v>
      </c>
      <c r="B72" s="6" t="str">
        <f t="shared" si="4"/>
        <v/>
      </c>
      <c r="C72" s="8"/>
      <c r="D72" s="1">
        <v>7560496</v>
      </c>
      <c r="E72" s="6" t="str">
        <f t="shared" si="5"/>
        <v/>
      </c>
      <c r="F72" s="8"/>
      <c r="G72" s="1">
        <v>619000</v>
      </c>
      <c r="H72" s="7" t="str">
        <f t="shared" si="6"/>
        <v/>
      </c>
      <c r="I72" s="9"/>
      <c r="J72" s="1">
        <v>329867</v>
      </c>
      <c r="K72" s="6" t="str">
        <f t="shared" si="7"/>
        <v/>
      </c>
      <c r="L72" s="8"/>
      <c r="M72" s="1">
        <v>947901</v>
      </c>
    </row>
    <row r="73" spans="1:13" x14ac:dyDescent="0.2">
      <c r="A73" s="4">
        <v>44165</v>
      </c>
      <c r="B73" s="6" t="str">
        <f t="shared" si="4"/>
        <v/>
      </c>
      <c r="C73" s="8"/>
      <c r="D73" s="1">
        <v>7560496</v>
      </c>
      <c r="E73" s="6" t="str">
        <f t="shared" si="5"/>
        <v/>
      </c>
      <c r="F73" s="8"/>
      <c r="G73" s="1">
        <v>619000</v>
      </c>
      <c r="H73" s="7" t="str">
        <f t="shared" si="6"/>
        <v/>
      </c>
      <c r="I73" s="9"/>
      <c r="J73" s="1">
        <v>329867</v>
      </c>
      <c r="K73" s="6" t="str">
        <f t="shared" si="7"/>
        <v/>
      </c>
      <c r="L73" s="8"/>
      <c r="M73" s="1">
        <v>947901</v>
      </c>
    </row>
    <row r="74" spans="1:13" x14ac:dyDescent="0.2">
      <c r="A74" s="4">
        <v>44196</v>
      </c>
      <c r="B74" s="6" t="str">
        <f t="shared" si="4"/>
        <v/>
      </c>
      <c r="C74" s="8"/>
      <c r="D74" s="1">
        <v>7546000</v>
      </c>
      <c r="E74" s="6" t="str">
        <f t="shared" si="5"/>
        <v/>
      </c>
      <c r="F74" s="8"/>
      <c r="G74" s="1">
        <v>619000</v>
      </c>
      <c r="H74" s="7" t="str">
        <f t="shared" si="6"/>
        <v/>
      </c>
      <c r="I74" s="9"/>
      <c r="J74" s="1">
        <v>328649</v>
      </c>
      <c r="K74" s="6" t="str">
        <f t="shared" si="7"/>
        <v/>
      </c>
      <c r="L74" s="8"/>
      <c r="M74" s="1">
        <v>959854</v>
      </c>
    </row>
    <row r="75" spans="1:13" x14ac:dyDescent="0.2">
      <c r="A75" s="4">
        <v>44225</v>
      </c>
      <c r="B75" s="6" t="str">
        <f t="shared" si="4"/>
        <v/>
      </c>
      <c r="C75" s="8"/>
      <c r="D75" s="1">
        <v>7542216</v>
      </c>
      <c r="E75" s="6" t="str">
        <f t="shared" si="5"/>
        <v/>
      </c>
      <c r="F75" s="8"/>
      <c r="G75" s="1">
        <v>620000</v>
      </c>
      <c r="H75" s="7" t="str">
        <f t="shared" si="6"/>
        <v/>
      </c>
      <c r="I75" s="9"/>
      <c r="J75" s="1">
        <v>327556</v>
      </c>
      <c r="K75" s="6" t="str">
        <f t="shared" si="7"/>
        <v/>
      </c>
      <c r="L75" s="8"/>
      <c r="M75" s="1">
        <v>959854</v>
      </c>
    </row>
    <row r="76" spans="1:13" x14ac:dyDescent="0.2">
      <c r="A76" s="4">
        <v>44253</v>
      </c>
      <c r="B76" s="6" t="str">
        <f t="shared" si="4"/>
        <v/>
      </c>
      <c r="C76" s="8"/>
      <c r="D76" s="1">
        <v>7542216</v>
      </c>
      <c r="E76" s="6" t="str">
        <f t="shared" si="5"/>
        <v/>
      </c>
      <c r="F76" s="8"/>
      <c r="G76" s="1">
        <v>620000</v>
      </c>
      <c r="H76" s="7" t="str">
        <f t="shared" si="6"/>
        <v/>
      </c>
      <c r="I76" s="9"/>
      <c r="J76" s="1">
        <v>327556</v>
      </c>
      <c r="K76" s="6" t="str">
        <f t="shared" si="7"/>
        <v/>
      </c>
      <c r="L76" s="8"/>
      <c r="M76" s="1">
        <v>959854</v>
      </c>
    </row>
    <row r="77" spans="1:13" x14ac:dyDescent="0.2">
      <c r="A77" s="4">
        <v>44286</v>
      </c>
      <c r="B77" s="6" t="str">
        <f t="shared" si="4"/>
        <v/>
      </c>
      <c r="C77" s="8"/>
      <c r="D77" s="1">
        <v>7534000</v>
      </c>
      <c r="E77" s="6" t="str">
        <f t="shared" si="5"/>
        <v/>
      </c>
      <c r="F77" s="8"/>
      <c r="G77" s="1">
        <v>622345</v>
      </c>
      <c r="H77" s="7" t="str">
        <f t="shared" si="6"/>
        <v/>
      </c>
      <c r="I77" s="9"/>
      <c r="J77" s="1">
        <v>324511</v>
      </c>
      <c r="K77" s="6" t="str">
        <f t="shared" si="7"/>
        <v/>
      </c>
      <c r="L77" s="8"/>
      <c r="M77" s="1">
        <v>963000</v>
      </c>
    </row>
    <row r="78" spans="1:13" x14ac:dyDescent="0.2">
      <c r="A78" s="4">
        <v>44316</v>
      </c>
      <c r="B78" s="6" t="str">
        <f t="shared" si="4"/>
        <v/>
      </c>
      <c r="C78" s="8"/>
      <c r="D78" s="1">
        <v>7531575</v>
      </c>
      <c r="E78" s="6" t="str">
        <f t="shared" si="5"/>
        <v/>
      </c>
      <c r="F78" s="8"/>
      <c r="G78" s="1">
        <v>623000</v>
      </c>
      <c r="H78" s="7" t="str">
        <f t="shared" si="6"/>
        <v/>
      </c>
      <c r="I78" s="9"/>
      <c r="J78" s="1">
        <v>323580</v>
      </c>
      <c r="K78" s="6" t="str">
        <f t="shared" si="7"/>
        <v/>
      </c>
      <c r="L78" s="8"/>
      <c r="M78" s="1">
        <v>963330</v>
      </c>
    </row>
    <row r="79" spans="1:13" x14ac:dyDescent="0.2">
      <c r="A79" s="4">
        <v>44344</v>
      </c>
      <c r="B79" s="6" t="str">
        <f t="shared" si="4"/>
        <v/>
      </c>
      <c r="C79" s="8"/>
      <c r="D79" s="1">
        <v>7531575</v>
      </c>
      <c r="E79" s="6" t="str">
        <f t="shared" si="5"/>
        <v/>
      </c>
      <c r="F79" s="8"/>
      <c r="G79" s="1">
        <v>623000</v>
      </c>
      <c r="H79" s="7" t="str">
        <f t="shared" si="6"/>
        <v/>
      </c>
      <c r="I79" s="9"/>
      <c r="J79" s="1">
        <v>323580</v>
      </c>
      <c r="K79" s="6" t="str">
        <f t="shared" si="7"/>
        <v/>
      </c>
      <c r="L79" s="8"/>
      <c r="M79" s="1">
        <v>963330</v>
      </c>
    </row>
    <row r="80" spans="1:13" x14ac:dyDescent="0.2">
      <c r="A80" s="4">
        <v>44377</v>
      </c>
      <c r="B80" s="6" t="str">
        <f t="shared" si="4"/>
        <v/>
      </c>
      <c r="C80" s="8"/>
      <c r="D80" s="1">
        <v>7519000</v>
      </c>
      <c r="E80" s="6" t="str">
        <f t="shared" si="5"/>
        <v/>
      </c>
      <c r="F80" s="8"/>
      <c r="G80" s="1">
        <v>623000</v>
      </c>
      <c r="H80" s="7" t="str">
        <f t="shared" si="6"/>
        <v/>
      </c>
      <c r="I80" s="9"/>
      <c r="J80" s="1">
        <v>321051</v>
      </c>
      <c r="K80" s="6" t="str">
        <f t="shared" si="7"/>
        <v/>
      </c>
      <c r="L80" s="8"/>
      <c r="M80" s="1">
        <v>984003</v>
      </c>
    </row>
    <row r="81" spans="1:13" x14ac:dyDescent="0.2">
      <c r="A81" s="4">
        <v>44407</v>
      </c>
      <c r="B81" s="6" t="str">
        <f t="shared" si="4"/>
        <v/>
      </c>
      <c r="C81" s="8"/>
      <c r="D81" s="1">
        <v>7514891</v>
      </c>
      <c r="E81" s="6">
        <f t="shared" si="5"/>
        <v>1</v>
      </c>
      <c r="F81" s="14">
        <f>G81/G80</f>
        <v>4.0128410914927768</v>
      </c>
      <c r="G81" s="1">
        <v>2500000</v>
      </c>
      <c r="H81" s="7" t="str">
        <f t="shared" si="6"/>
        <v/>
      </c>
      <c r="I81" s="9"/>
      <c r="J81" s="1">
        <v>320168</v>
      </c>
      <c r="K81" s="6" t="str">
        <f t="shared" si="7"/>
        <v/>
      </c>
      <c r="L81" s="8"/>
      <c r="M81" s="1">
        <v>990015</v>
      </c>
    </row>
    <row r="82" spans="1:13" x14ac:dyDescent="0.2">
      <c r="A82" s="4">
        <v>44439</v>
      </c>
      <c r="B82" s="6" t="str">
        <f t="shared" si="4"/>
        <v/>
      </c>
      <c r="C82" s="8"/>
      <c r="D82" s="1">
        <v>7514891</v>
      </c>
      <c r="E82" s="6" t="str">
        <f t="shared" si="5"/>
        <v/>
      </c>
      <c r="F82" s="8"/>
      <c r="G82" s="1">
        <v>2500000</v>
      </c>
      <c r="H82" s="7" t="str">
        <f t="shared" si="6"/>
        <v/>
      </c>
      <c r="I82" s="9"/>
      <c r="J82" s="1">
        <v>320168</v>
      </c>
      <c r="K82" s="6" t="str">
        <f t="shared" si="7"/>
        <v/>
      </c>
      <c r="L82" s="8"/>
      <c r="M82" s="1">
        <v>1001767</v>
      </c>
    </row>
    <row r="83" spans="1:13" x14ac:dyDescent="0.2">
      <c r="A83" s="4">
        <v>44469</v>
      </c>
      <c r="B83" s="6" t="str">
        <f t="shared" si="4"/>
        <v/>
      </c>
      <c r="C83" s="8"/>
      <c r="D83" s="1">
        <v>7507897</v>
      </c>
      <c r="E83" s="6" t="str">
        <f t="shared" si="5"/>
        <v/>
      </c>
      <c r="F83" s="8"/>
      <c r="G83" s="1">
        <v>2500000</v>
      </c>
      <c r="H83" s="7" t="str">
        <f t="shared" si="6"/>
        <v/>
      </c>
      <c r="I83" s="9"/>
      <c r="J83" s="1">
        <v>318620</v>
      </c>
      <c r="K83" s="6" t="str">
        <f t="shared" si="7"/>
        <v/>
      </c>
      <c r="L83" s="8"/>
      <c r="M83" s="1">
        <v>1004000</v>
      </c>
    </row>
    <row r="84" spans="1:13" x14ac:dyDescent="0.2">
      <c r="A84" s="4">
        <v>44498</v>
      </c>
      <c r="B84" s="6" t="str">
        <f t="shared" si="4"/>
        <v/>
      </c>
      <c r="C84" s="8"/>
      <c r="D84" s="1">
        <v>7507980</v>
      </c>
      <c r="E84" s="6" t="str">
        <f t="shared" si="5"/>
        <v/>
      </c>
      <c r="F84" s="8"/>
      <c r="G84" s="1">
        <v>2502000</v>
      </c>
      <c r="H84" s="7" t="str">
        <f t="shared" si="6"/>
        <v/>
      </c>
      <c r="I84" s="9"/>
      <c r="J84" s="1">
        <v>317738</v>
      </c>
      <c r="K84" s="6" t="str">
        <f t="shared" si="7"/>
        <v/>
      </c>
      <c r="L84" s="8"/>
      <c r="M84" s="1">
        <v>1004265</v>
      </c>
    </row>
    <row r="85" spans="1:13" x14ac:dyDescent="0.2">
      <c r="A85" s="4">
        <v>44530</v>
      </c>
      <c r="B85" s="6" t="str">
        <f t="shared" si="4"/>
        <v/>
      </c>
      <c r="C85" s="8"/>
      <c r="D85" s="1">
        <v>7507980</v>
      </c>
      <c r="E85" s="6" t="str">
        <f t="shared" si="5"/>
        <v/>
      </c>
      <c r="F85" s="8"/>
      <c r="G85" s="1">
        <v>2500000</v>
      </c>
      <c r="H85" s="7" t="str">
        <f t="shared" si="6"/>
        <v/>
      </c>
      <c r="I85" s="9"/>
      <c r="J85" s="1">
        <v>317738</v>
      </c>
      <c r="K85" s="6" t="str">
        <f t="shared" si="7"/>
        <v/>
      </c>
      <c r="L85" s="8"/>
      <c r="M85" s="1">
        <v>1004265</v>
      </c>
    </row>
    <row r="86" spans="1:13" x14ac:dyDescent="0.2">
      <c r="A86" s="4">
        <v>44561</v>
      </c>
      <c r="B86" s="6" t="str">
        <f t="shared" si="4"/>
        <v/>
      </c>
      <c r="C86" s="8"/>
      <c r="D86" s="1">
        <v>7507980</v>
      </c>
      <c r="E86" s="6" t="str">
        <f t="shared" si="5"/>
        <v/>
      </c>
      <c r="F86" s="8"/>
      <c r="G86" s="1">
        <v>2500000</v>
      </c>
      <c r="H86" s="7" t="str">
        <f t="shared" si="6"/>
        <v/>
      </c>
      <c r="I86" s="9"/>
      <c r="J86" s="1">
        <v>316719</v>
      </c>
      <c r="K86" s="6" t="str">
        <f t="shared" si="7"/>
        <v/>
      </c>
      <c r="L86" s="8"/>
      <c r="M86" s="1">
        <v>1033508</v>
      </c>
    </row>
    <row r="87" spans="1:13" x14ac:dyDescent="0.2">
      <c r="A87" s="4">
        <v>44592</v>
      </c>
      <c r="B87" s="6" t="str">
        <f t="shared" si="4"/>
        <v/>
      </c>
      <c r="C87" s="8"/>
      <c r="D87" s="1">
        <v>7496866</v>
      </c>
      <c r="E87" s="6" t="str">
        <f t="shared" si="5"/>
        <v/>
      </c>
      <c r="F87" s="8"/>
      <c r="G87" s="1">
        <v>2506000</v>
      </c>
      <c r="H87" s="7" t="str">
        <f t="shared" si="6"/>
        <v/>
      </c>
      <c r="I87" s="9"/>
      <c r="J87" s="1">
        <v>315639</v>
      </c>
      <c r="K87" s="6" t="str">
        <f t="shared" si="7"/>
        <v/>
      </c>
      <c r="L87" s="8"/>
      <c r="M87" s="1">
        <v>1033508</v>
      </c>
    </row>
    <row r="88" spans="1:13" x14ac:dyDescent="0.2">
      <c r="A88" s="4">
        <v>44620</v>
      </c>
      <c r="B88" s="6" t="str">
        <f t="shared" si="4"/>
        <v/>
      </c>
      <c r="C88" s="8"/>
      <c r="D88" s="1">
        <v>7496866</v>
      </c>
      <c r="E88" s="6" t="str">
        <f t="shared" si="5"/>
        <v/>
      </c>
      <c r="F88" s="8"/>
      <c r="G88" s="1">
        <v>2506000</v>
      </c>
      <c r="H88" s="7" t="str">
        <f t="shared" si="6"/>
        <v/>
      </c>
      <c r="I88" s="9"/>
      <c r="J88" s="1">
        <v>315639</v>
      </c>
      <c r="K88" s="6" t="str">
        <f t="shared" si="7"/>
        <v/>
      </c>
      <c r="L88" s="8"/>
      <c r="M88" s="1">
        <v>1033508</v>
      </c>
    </row>
    <row r="89" spans="1:13" x14ac:dyDescent="0.2">
      <c r="A89" s="4">
        <v>44651</v>
      </c>
      <c r="B89" s="6" t="str">
        <f t="shared" si="4"/>
        <v/>
      </c>
      <c r="C89" s="8"/>
      <c r="D89" s="1">
        <v>7483000</v>
      </c>
      <c r="E89" s="6" t="str">
        <f t="shared" si="5"/>
        <v/>
      </c>
      <c r="F89" s="8"/>
      <c r="G89" s="1">
        <v>2503959</v>
      </c>
      <c r="H89" s="7" t="str">
        <f t="shared" si="6"/>
        <v/>
      </c>
      <c r="I89" s="9"/>
      <c r="J89" s="1">
        <v>313596</v>
      </c>
      <c r="K89" s="6" t="str">
        <f t="shared" si="7"/>
        <v/>
      </c>
      <c r="L89" s="8"/>
      <c r="M89" s="1">
        <v>1035976</v>
      </c>
    </row>
    <row r="90" spans="1:13" x14ac:dyDescent="0.2">
      <c r="A90" s="4">
        <v>44680</v>
      </c>
      <c r="B90" s="6" t="str">
        <f t="shared" si="4"/>
        <v/>
      </c>
      <c r="C90" s="8"/>
      <c r="D90" s="1">
        <v>7479033</v>
      </c>
      <c r="E90" s="6" t="str">
        <f t="shared" si="5"/>
        <v/>
      </c>
      <c r="F90" s="8"/>
      <c r="G90" s="1">
        <v>2500000</v>
      </c>
      <c r="H90" s="7" t="str">
        <f t="shared" si="6"/>
        <v/>
      </c>
      <c r="I90" s="9"/>
      <c r="J90" s="1">
        <v>313376</v>
      </c>
      <c r="K90" s="6" t="str">
        <f t="shared" si="7"/>
        <v/>
      </c>
      <c r="L90" s="8"/>
      <c r="M90" s="1">
        <v>1036010</v>
      </c>
    </row>
    <row r="91" spans="1:13" x14ac:dyDescent="0.2">
      <c r="A91" s="4">
        <v>44712</v>
      </c>
      <c r="B91" s="6" t="str">
        <f t="shared" si="4"/>
        <v/>
      </c>
      <c r="C91" s="8"/>
      <c r="D91" s="1">
        <v>7479033</v>
      </c>
      <c r="E91" s="6" t="str">
        <f t="shared" si="5"/>
        <v/>
      </c>
      <c r="F91" s="8"/>
      <c r="G91" s="1">
        <v>2500000</v>
      </c>
      <c r="H91" s="7" t="str">
        <f t="shared" si="6"/>
        <v/>
      </c>
      <c r="I91" s="9"/>
      <c r="J91" s="1">
        <v>313376</v>
      </c>
      <c r="K91" s="6" t="str">
        <f t="shared" si="7"/>
        <v/>
      </c>
      <c r="L91" s="8"/>
      <c r="M91" s="1">
        <v>1036010</v>
      </c>
    </row>
    <row r="92" spans="1:13" x14ac:dyDescent="0.2">
      <c r="A92" s="4">
        <v>44742</v>
      </c>
      <c r="B92" s="6" t="str">
        <f t="shared" si="4"/>
        <v/>
      </c>
      <c r="C92" s="8"/>
      <c r="D92" s="1">
        <v>7464000</v>
      </c>
      <c r="E92" s="6" t="str">
        <f t="shared" si="5"/>
        <v/>
      </c>
      <c r="F92" s="8"/>
      <c r="G92" s="1">
        <v>2500000</v>
      </c>
      <c r="H92" s="7" t="str">
        <f t="shared" si="6"/>
        <v/>
      </c>
      <c r="I92" s="9"/>
      <c r="J92" s="1">
        <v>313376</v>
      </c>
      <c r="K92" s="6" t="str">
        <f t="shared" si="7"/>
        <v/>
      </c>
      <c r="L92" s="8"/>
      <c r="M92" s="1">
        <v>1041000</v>
      </c>
    </row>
    <row r="93" spans="1:13" x14ac:dyDescent="0.2">
      <c r="A93" s="4">
        <v>44771</v>
      </c>
      <c r="B93" s="6" t="str">
        <f t="shared" si="4"/>
        <v/>
      </c>
      <c r="C93" s="8"/>
      <c r="D93" s="1">
        <v>7457892</v>
      </c>
      <c r="E93" s="6" t="str">
        <f t="shared" si="5"/>
        <v/>
      </c>
      <c r="F93" s="8"/>
      <c r="G93" s="1">
        <v>2489000</v>
      </c>
      <c r="H93" s="7">
        <f t="shared" si="6"/>
        <v>1</v>
      </c>
      <c r="I93" s="15">
        <f>J93/J92</f>
        <v>19.666470948636782</v>
      </c>
      <c r="J93" s="1">
        <v>6163000</v>
      </c>
      <c r="K93" s="6" t="str">
        <f t="shared" si="7"/>
        <v/>
      </c>
      <c r="L93" s="8"/>
      <c r="M93" s="1">
        <v>1044490</v>
      </c>
    </row>
    <row r="94" spans="1:13" x14ac:dyDescent="0.2">
      <c r="A94" s="4">
        <v>44804</v>
      </c>
      <c r="B94" s="6" t="str">
        <f t="shared" si="4"/>
        <v/>
      </c>
      <c r="C94" s="8"/>
      <c r="D94" s="1">
        <v>7457892</v>
      </c>
      <c r="E94" s="6" t="str">
        <f t="shared" si="5"/>
        <v/>
      </c>
      <c r="F94" s="8"/>
      <c r="G94" s="1">
        <v>2490000</v>
      </c>
      <c r="H94" s="7" t="str">
        <f t="shared" si="6"/>
        <v/>
      </c>
      <c r="I94" s="9"/>
      <c r="J94" s="1">
        <v>6163000</v>
      </c>
      <c r="K94" s="6">
        <f t="shared" si="7"/>
        <v>1</v>
      </c>
      <c r="L94" s="14">
        <f>M94/M93</f>
        <v>3</v>
      </c>
      <c r="M94" s="1">
        <v>3133470</v>
      </c>
    </row>
    <row r="95" spans="1:13" x14ac:dyDescent="0.2">
      <c r="A95" s="4">
        <v>44834</v>
      </c>
      <c r="B95" s="6" t="str">
        <f t="shared" si="4"/>
        <v/>
      </c>
      <c r="C95" s="8"/>
      <c r="D95" s="1">
        <v>7457000</v>
      </c>
      <c r="E95" s="6" t="str">
        <f t="shared" si="5"/>
        <v/>
      </c>
      <c r="F95" s="8"/>
      <c r="G95" s="1">
        <v>2490000</v>
      </c>
      <c r="H95" s="7" t="str">
        <f t="shared" si="6"/>
        <v/>
      </c>
      <c r="I95" s="9"/>
      <c r="J95" s="1">
        <v>6109000</v>
      </c>
      <c r="K95" s="6" t="str">
        <f t="shared" si="7"/>
        <v/>
      </c>
      <c r="L95" s="8"/>
      <c r="M95" s="1">
        <v>3158000</v>
      </c>
    </row>
    <row r="96" spans="1:13" x14ac:dyDescent="0.2">
      <c r="A96" s="4">
        <v>44865</v>
      </c>
      <c r="B96" s="6" t="str">
        <f t="shared" si="4"/>
        <v/>
      </c>
      <c r="C96" s="8"/>
      <c r="D96" s="1">
        <v>7454473</v>
      </c>
      <c r="E96" s="6" t="str">
        <f t="shared" si="5"/>
        <v/>
      </c>
      <c r="F96" s="8"/>
      <c r="G96" s="1">
        <v>2460000</v>
      </c>
      <c r="H96" s="7" t="str">
        <f t="shared" si="6"/>
        <v/>
      </c>
      <c r="I96" s="9"/>
      <c r="J96" s="1">
        <v>6086000</v>
      </c>
      <c r="K96" s="6" t="str">
        <f t="shared" si="7"/>
        <v/>
      </c>
      <c r="L96" s="8"/>
      <c r="M96" s="1">
        <v>3157752</v>
      </c>
    </row>
    <row r="97" spans="1:13" x14ac:dyDescent="0.2">
      <c r="A97" s="4">
        <v>44895</v>
      </c>
      <c r="B97" s="6" t="str">
        <f t="shared" si="4"/>
        <v/>
      </c>
      <c r="C97" s="8"/>
      <c r="D97" s="1">
        <v>7454473</v>
      </c>
      <c r="E97" s="6" t="str">
        <f t="shared" si="5"/>
        <v/>
      </c>
      <c r="F97" s="8"/>
      <c r="G97" s="1">
        <v>2460000</v>
      </c>
      <c r="H97" s="7" t="str">
        <f t="shared" si="6"/>
        <v/>
      </c>
      <c r="I97" s="9"/>
      <c r="J97" s="1">
        <v>6086000</v>
      </c>
      <c r="K97" s="6" t="str">
        <f t="shared" si="7"/>
        <v/>
      </c>
      <c r="L97" s="8"/>
      <c r="M97" s="1">
        <v>3157752</v>
      </c>
    </row>
    <row r="98" spans="1:13" x14ac:dyDescent="0.2">
      <c r="A98" s="4">
        <v>44925</v>
      </c>
      <c r="B98" s="6" t="str">
        <f t="shared" si="4"/>
        <v/>
      </c>
      <c r="C98" s="8"/>
      <c r="D98" s="1">
        <v>7447000</v>
      </c>
      <c r="E98" s="6" t="str">
        <f t="shared" si="5"/>
        <v/>
      </c>
      <c r="F98" s="8"/>
      <c r="G98" s="1">
        <v>2460000</v>
      </c>
      <c r="H98" s="7" t="str">
        <f t="shared" si="6"/>
        <v/>
      </c>
      <c r="I98" s="9"/>
      <c r="J98" s="1">
        <v>5968000</v>
      </c>
      <c r="K98" s="6" t="str">
        <f t="shared" si="7"/>
        <v/>
      </c>
      <c r="L98" s="8"/>
      <c r="M98" s="1">
        <v>3164000</v>
      </c>
    </row>
    <row r="99" spans="1:13" x14ac:dyDescent="0.2">
      <c r="A99" s="4">
        <v>44957</v>
      </c>
      <c r="B99" s="6" t="str">
        <f t="shared" si="4"/>
        <v/>
      </c>
      <c r="C99" s="8"/>
      <c r="D99" s="1">
        <v>7443804</v>
      </c>
      <c r="E99" s="6" t="str">
        <f t="shared" si="5"/>
        <v/>
      </c>
      <c r="F99" s="8"/>
      <c r="G99" s="1">
        <v>2466000</v>
      </c>
      <c r="H99" s="7" t="str">
        <f t="shared" si="6"/>
        <v/>
      </c>
      <c r="I99" s="9"/>
      <c r="J99" s="1">
        <v>5968000</v>
      </c>
      <c r="K99" s="6" t="str">
        <f t="shared" si="7"/>
        <v/>
      </c>
      <c r="L99" s="8"/>
      <c r="M99" s="1">
        <v>3164103</v>
      </c>
    </row>
    <row r="100" spans="1:13" x14ac:dyDescent="0.2">
      <c r="A100" s="4">
        <v>44985</v>
      </c>
      <c r="B100" s="6" t="str">
        <f t="shared" si="4"/>
        <v/>
      </c>
      <c r="C100" s="8"/>
      <c r="D100" s="1">
        <v>7443804</v>
      </c>
      <c r="E100" s="6" t="str">
        <f t="shared" si="5"/>
        <v/>
      </c>
      <c r="F100" s="8"/>
      <c r="G100" s="1">
        <v>2470000</v>
      </c>
      <c r="H100" s="7" t="str">
        <f t="shared" si="6"/>
        <v/>
      </c>
      <c r="I100" s="9"/>
      <c r="J100" s="1">
        <v>5968000</v>
      </c>
      <c r="K100" s="6" t="str">
        <f t="shared" si="7"/>
        <v/>
      </c>
      <c r="L100" s="8"/>
      <c r="M100" s="1">
        <v>3164103</v>
      </c>
    </row>
    <row r="101" spans="1:13" x14ac:dyDescent="0.2">
      <c r="A101" s="4">
        <v>45016</v>
      </c>
      <c r="B101" s="6" t="str">
        <f t="shared" si="4"/>
        <v/>
      </c>
      <c r="C101" s="8"/>
      <c r="D101" s="1">
        <v>7437000</v>
      </c>
      <c r="E101" s="6" t="str">
        <f t="shared" si="5"/>
        <v/>
      </c>
      <c r="F101" s="8"/>
      <c r="G101" s="1">
        <v>2470000</v>
      </c>
      <c r="H101" s="7" t="str">
        <f t="shared" si="6"/>
        <v/>
      </c>
      <c r="I101" s="9"/>
      <c r="J101" s="1">
        <v>5896000</v>
      </c>
      <c r="K101" s="6" t="str">
        <f t="shared" si="7"/>
        <v/>
      </c>
      <c r="L101" s="8"/>
      <c r="M101" s="1">
        <v>3169314</v>
      </c>
    </row>
    <row r="102" spans="1:13" x14ac:dyDescent="0.2">
      <c r="A102" s="4">
        <v>45044</v>
      </c>
      <c r="B102" s="6" t="str">
        <f t="shared" si="4"/>
        <v/>
      </c>
      <c r="C102" s="8"/>
      <c r="D102" s="1">
        <v>7435488</v>
      </c>
      <c r="E102" s="6" t="str">
        <f t="shared" si="5"/>
        <v/>
      </c>
      <c r="F102" s="8"/>
      <c r="G102" s="1">
        <v>2470000</v>
      </c>
      <c r="H102" s="7" t="str">
        <f t="shared" si="6"/>
        <v/>
      </c>
      <c r="I102" s="9"/>
      <c r="J102" s="1">
        <v>5874000</v>
      </c>
      <c r="K102" s="6" t="str">
        <f t="shared" si="7"/>
        <v/>
      </c>
      <c r="L102" s="8"/>
      <c r="M102" s="1">
        <v>3169504</v>
      </c>
    </row>
    <row r="103" spans="1:13" x14ac:dyDescent="0.2">
      <c r="A103" s="4">
        <v>45077</v>
      </c>
      <c r="B103" s="6" t="str">
        <f t="shared" si="4"/>
        <v/>
      </c>
      <c r="C103" s="8"/>
      <c r="D103" s="1">
        <v>7435488</v>
      </c>
      <c r="E103" s="6" t="str">
        <f t="shared" si="5"/>
        <v/>
      </c>
      <c r="F103" s="8"/>
      <c r="G103" s="1">
        <v>2470000</v>
      </c>
      <c r="H103" s="7" t="str">
        <f t="shared" si="6"/>
        <v/>
      </c>
      <c r="I103" s="9"/>
      <c r="J103" s="1">
        <v>5874000</v>
      </c>
      <c r="K103" s="6" t="str">
        <f t="shared" si="7"/>
        <v/>
      </c>
      <c r="L103" s="8"/>
      <c r="M103" s="1">
        <v>3169504</v>
      </c>
    </row>
    <row r="104" spans="1:13" x14ac:dyDescent="0.2">
      <c r="A104" s="4">
        <v>45107</v>
      </c>
      <c r="B104" s="6" t="str">
        <f t="shared" si="4"/>
        <v/>
      </c>
      <c r="C104" s="8"/>
      <c r="D104" s="1">
        <v>7432000</v>
      </c>
      <c r="E104" s="6" t="str">
        <f t="shared" si="5"/>
        <v/>
      </c>
      <c r="F104" s="8"/>
      <c r="G104" s="1">
        <v>2470000</v>
      </c>
      <c r="H104" s="7" t="str">
        <f t="shared" si="6"/>
        <v/>
      </c>
      <c r="I104" s="9"/>
      <c r="J104" s="1">
        <v>5819000</v>
      </c>
      <c r="K104" s="6" t="str">
        <f t="shared" si="7"/>
        <v/>
      </c>
      <c r="L104" s="8"/>
      <c r="M104" s="1">
        <v>3174000</v>
      </c>
    </row>
    <row r="105" spans="1:13" x14ac:dyDescent="0.2">
      <c r="A105" s="4">
        <v>45138</v>
      </c>
      <c r="B105" s="6" t="str">
        <f t="shared" si="4"/>
        <v/>
      </c>
      <c r="C105" s="8"/>
      <c r="D105" s="1">
        <v>7429764</v>
      </c>
      <c r="E105" s="6" t="str">
        <f t="shared" si="5"/>
        <v/>
      </c>
      <c r="F105" s="8"/>
      <c r="G105" s="1">
        <v>2470000</v>
      </c>
      <c r="H105" s="7" t="str">
        <f t="shared" si="6"/>
        <v/>
      </c>
      <c r="I105" s="9"/>
      <c r="J105" s="1">
        <v>5801000</v>
      </c>
      <c r="K105" s="6" t="str">
        <f t="shared" si="7"/>
        <v/>
      </c>
      <c r="L105" s="8"/>
      <c r="M105" s="1">
        <v>3173994</v>
      </c>
    </row>
    <row r="106" spans="1:13" x14ac:dyDescent="0.2">
      <c r="A106" s="4">
        <v>45169</v>
      </c>
      <c r="B106" s="6" t="str">
        <f t="shared" si="4"/>
        <v/>
      </c>
      <c r="C106" s="8"/>
      <c r="D106" s="1">
        <v>7429764</v>
      </c>
      <c r="E106" s="6" t="str">
        <f t="shared" si="5"/>
        <v/>
      </c>
      <c r="F106" s="8"/>
      <c r="G106" s="1">
        <v>2470000</v>
      </c>
      <c r="H106" s="7" t="str">
        <f t="shared" si="6"/>
        <v/>
      </c>
      <c r="I106" s="9"/>
      <c r="J106" s="1">
        <v>5801000</v>
      </c>
      <c r="K106" s="6" t="str">
        <f t="shared" si="7"/>
        <v/>
      </c>
      <c r="L106" s="8"/>
      <c r="M106" s="1">
        <v>3173994</v>
      </c>
    </row>
    <row r="107" spans="1:13" x14ac:dyDescent="0.2">
      <c r="A107" s="4">
        <v>45198</v>
      </c>
      <c r="B107" s="6" t="str">
        <f t="shared" si="4"/>
        <v/>
      </c>
      <c r="C107" s="8"/>
      <c r="D107" s="1">
        <v>7429031</v>
      </c>
      <c r="E107" s="6" t="str">
        <f t="shared" si="5"/>
        <v/>
      </c>
      <c r="F107" s="8"/>
      <c r="G107" s="1">
        <v>2470000</v>
      </c>
      <c r="H107" s="7" t="str">
        <f t="shared" si="6"/>
        <v/>
      </c>
      <c r="I107" s="9"/>
      <c r="J107" s="1">
        <v>5745000</v>
      </c>
      <c r="K107" s="6" t="str">
        <f t="shared" si="7"/>
        <v/>
      </c>
      <c r="L107" s="8"/>
      <c r="M107" s="1">
        <v>3179000</v>
      </c>
    </row>
    <row r="108" spans="1:13" x14ac:dyDescent="0.2">
      <c r="A108" s="4">
        <v>45230</v>
      </c>
      <c r="B108" s="6" t="str">
        <f t="shared" si="4"/>
        <v/>
      </c>
      <c r="C108" s="8"/>
      <c r="D108" s="1">
        <v>7432262</v>
      </c>
      <c r="E108" s="6" t="str">
        <f t="shared" si="5"/>
        <v/>
      </c>
      <c r="F108" s="8"/>
      <c r="G108" s="1">
        <v>2466000</v>
      </c>
      <c r="H108" s="7" t="str">
        <f t="shared" si="6"/>
        <v/>
      </c>
      <c r="I108" s="9"/>
      <c r="J108" s="1">
        <v>5725000</v>
      </c>
      <c r="K108" s="6" t="str">
        <f t="shared" si="7"/>
        <v/>
      </c>
      <c r="L108" s="8"/>
      <c r="M108" s="1">
        <v>3178921</v>
      </c>
    </row>
    <row r="109" spans="1:13" x14ac:dyDescent="0.2">
      <c r="A109" s="4">
        <v>45260</v>
      </c>
      <c r="B109" s="6" t="str">
        <f t="shared" si="4"/>
        <v/>
      </c>
      <c r="C109" s="8"/>
      <c r="D109" s="1">
        <v>7432262</v>
      </c>
      <c r="E109" s="6" t="str">
        <f t="shared" si="5"/>
        <v/>
      </c>
      <c r="F109" s="8"/>
      <c r="G109" s="1">
        <v>2470000</v>
      </c>
      <c r="H109" s="7" t="str">
        <f t="shared" si="6"/>
        <v/>
      </c>
      <c r="I109" s="9"/>
      <c r="J109" s="1">
        <v>5725000</v>
      </c>
      <c r="K109" s="6" t="str">
        <f t="shared" si="7"/>
        <v/>
      </c>
      <c r="L109" s="8"/>
      <c r="M109" s="1">
        <v>3178921</v>
      </c>
    </row>
    <row r="110" spans="1:13" x14ac:dyDescent="0.2">
      <c r="A110" s="4">
        <v>45289</v>
      </c>
      <c r="B110" s="6" t="str">
        <f t="shared" si="4"/>
        <v/>
      </c>
      <c r="C110" s="8"/>
      <c r="D110" s="1">
        <v>7432262</v>
      </c>
      <c r="E110" s="6" t="str">
        <f t="shared" si="5"/>
        <v/>
      </c>
      <c r="F110" s="8"/>
      <c r="G110" s="1">
        <v>2470000</v>
      </c>
      <c r="H110" s="7" t="str">
        <f t="shared" si="6"/>
        <v/>
      </c>
      <c r="I110" s="9"/>
      <c r="J110" s="1">
        <v>5691000</v>
      </c>
      <c r="K110" s="6" t="str">
        <f t="shared" si="7"/>
        <v/>
      </c>
      <c r="L110" s="8"/>
      <c r="M110" s="1">
        <v>3185000</v>
      </c>
    </row>
    <row r="111" spans="1:13" x14ac:dyDescent="0.2">
      <c r="A111" s="4">
        <v>45322</v>
      </c>
      <c r="B111" s="6" t="str">
        <f t="shared" si="4"/>
        <v/>
      </c>
      <c r="C111" s="8"/>
      <c r="D111" s="1">
        <v>7430436</v>
      </c>
      <c r="E111" s="6" t="str">
        <f t="shared" si="5"/>
        <v/>
      </c>
      <c r="F111" s="8"/>
      <c r="G111" s="1">
        <v>2464000</v>
      </c>
      <c r="H111" s="7" t="str">
        <f t="shared" si="6"/>
        <v/>
      </c>
      <c r="I111" s="9"/>
      <c r="J111" s="1">
        <v>5671000</v>
      </c>
      <c r="K111" s="6" t="str">
        <f t="shared" si="7"/>
        <v/>
      </c>
      <c r="L111" s="8"/>
      <c r="M111" s="1">
        <v>3184790</v>
      </c>
    </row>
    <row r="112" spans="1:13" x14ac:dyDescent="0.2">
      <c r="A112" s="4">
        <v>45351</v>
      </c>
      <c r="B112" s="6" t="str">
        <f t="shared" si="4"/>
        <v/>
      </c>
      <c r="C112" s="8"/>
      <c r="D112" s="1">
        <v>7430436</v>
      </c>
      <c r="E112" s="6" t="str">
        <f t="shared" si="5"/>
        <v/>
      </c>
      <c r="F112" s="8"/>
      <c r="G112" s="1">
        <v>2500000</v>
      </c>
      <c r="H112" s="7" t="str">
        <f t="shared" si="6"/>
        <v/>
      </c>
      <c r="I112" s="9"/>
      <c r="J112" s="1">
        <v>5671000</v>
      </c>
      <c r="K112" s="6" t="str">
        <f t="shared" si="7"/>
        <v/>
      </c>
      <c r="L112" s="8"/>
      <c r="M112" s="1">
        <v>3184790</v>
      </c>
    </row>
    <row r="113" spans="1:13" x14ac:dyDescent="0.2">
      <c r="A113" s="4">
        <v>45379</v>
      </c>
      <c r="B113" s="6" t="str">
        <f t="shared" si="4"/>
        <v/>
      </c>
      <c r="C113" s="8"/>
      <c r="D113" s="1">
        <v>7432306</v>
      </c>
      <c r="E113" s="6" t="str">
        <f t="shared" si="5"/>
        <v/>
      </c>
      <c r="F113" s="8"/>
      <c r="G113" s="1">
        <v>2463727</v>
      </c>
      <c r="H113" s="7" t="str">
        <f t="shared" si="6"/>
        <v/>
      </c>
      <c r="I113" s="9"/>
      <c r="J113" s="1">
        <v>5635000</v>
      </c>
      <c r="K113" s="6" t="str">
        <f t="shared" si="7"/>
        <v/>
      </c>
      <c r="L113" s="8"/>
      <c r="M113" s="1">
        <v>3188966</v>
      </c>
    </row>
    <row r="114" spans="1:13" x14ac:dyDescent="0.2">
      <c r="A114" s="4">
        <v>45412</v>
      </c>
      <c r="B114" s="6" t="str">
        <f t="shared" si="4"/>
        <v/>
      </c>
      <c r="C114" s="8"/>
      <c r="D114" s="1">
        <v>7432306</v>
      </c>
      <c r="E114" s="6" t="str">
        <f t="shared" si="5"/>
        <v/>
      </c>
      <c r="F114" s="8"/>
      <c r="G114" s="1">
        <v>2459834</v>
      </c>
      <c r="H114" s="7" t="str">
        <f t="shared" si="6"/>
        <v/>
      </c>
      <c r="I114" s="9"/>
      <c r="J114" s="1">
        <v>5617000</v>
      </c>
      <c r="K114" s="6" t="str">
        <f t="shared" si="7"/>
        <v/>
      </c>
      <c r="L114" s="8"/>
      <c r="M114" s="1">
        <v>3189196</v>
      </c>
    </row>
    <row r="115" spans="1:13" x14ac:dyDescent="0.2">
      <c r="A115" s="4">
        <v>45443</v>
      </c>
      <c r="B115" s="6" t="str">
        <f t="shared" si="4"/>
        <v/>
      </c>
      <c r="C115" s="8"/>
      <c r="D115" s="1">
        <v>7432306</v>
      </c>
      <c r="E115" s="6" t="str">
        <f t="shared" si="5"/>
        <v/>
      </c>
      <c r="F115" s="8"/>
      <c r="G115" s="1">
        <v>2459834</v>
      </c>
      <c r="H115" s="7" t="str">
        <f t="shared" si="6"/>
        <v/>
      </c>
      <c r="I115" s="9"/>
      <c r="J115" s="1">
        <v>5617000</v>
      </c>
      <c r="K115" s="6" t="str">
        <f t="shared" si="7"/>
        <v/>
      </c>
      <c r="L115" s="8"/>
      <c r="M115" s="1">
        <v>3189196</v>
      </c>
    </row>
    <row r="116" spans="1:13" x14ac:dyDescent="0.2">
      <c r="A116" s="4">
        <v>45471</v>
      </c>
      <c r="B116" s="6" t="str">
        <f t="shared" si="4"/>
        <v/>
      </c>
      <c r="C116" s="8"/>
      <c r="D116" s="1">
        <v>7434000</v>
      </c>
      <c r="E116" s="6">
        <f t="shared" si="5"/>
        <v>1</v>
      </c>
      <c r="F116" s="14">
        <f>G116/G115</f>
        <v>9.9880073208192091</v>
      </c>
      <c r="G116" s="1">
        <v>24568840</v>
      </c>
      <c r="H116" s="7" t="str">
        <f t="shared" si="6"/>
        <v/>
      </c>
      <c r="I116" s="9"/>
      <c r="J116" s="1">
        <v>5596000</v>
      </c>
      <c r="K116" s="6" t="str">
        <f t="shared" si="7"/>
        <v/>
      </c>
      <c r="L116" s="8"/>
      <c r="M116" s="1">
        <v>3194640</v>
      </c>
    </row>
    <row r="117" spans="1:13" x14ac:dyDescent="0.2">
      <c r="A117" s="4">
        <v>45504</v>
      </c>
      <c r="B117" s="6" t="str">
        <f t="shared" si="4"/>
        <v/>
      </c>
      <c r="C117" s="8"/>
      <c r="D117" s="1">
        <v>7433038</v>
      </c>
      <c r="E117" s="6" t="str">
        <f t="shared" si="5"/>
        <v/>
      </c>
      <c r="F117" s="8"/>
      <c r="G117" s="1">
        <v>24562000</v>
      </c>
      <c r="H117" s="7" t="str">
        <f t="shared" si="6"/>
        <v/>
      </c>
      <c r="I117" s="9"/>
      <c r="J117" s="1">
        <v>5585000</v>
      </c>
      <c r="K117" s="6" t="str">
        <f t="shared" si="7"/>
        <v/>
      </c>
      <c r="L117" s="8"/>
      <c r="M117" s="1">
        <v>3194640</v>
      </c>
    </row>
    <row r="118" spans="1:13" x14ac:dyDescent="0.2">
      <c r="A118" s="4">
        <v>45534</v>
      </c>
      <c r="B118" s="6" t="str">
        <f t="shared" si="4"/>
        <v/>
      </c>
      <c r="C118" s="8"/>
      <c r="D118" s="1">
        <v>7433038</v>
      </c>
      <c r="E118" s="6" t="str">
        <f t="shared" si="5"/>
        <v/>
      </c>
      <c r="F118" s="8"/>
      <c r="G118" s="1">
        <v>24530000</v>
      </c>
      <c r="H118" s="7" t="str">
        <f t="shared" si="6"/>
        <v/>
      </c>
      <c r="I118" s="9"/>
      <c r="J118" s="1">
        <v>5585000</v>
      </c>
      <c r="K118" s="6" t="str">
        <f t="shared" si="7"/>
        <v/>
      </c>
      <c r="L118" s="8"/>
      <c r="M118" s="1">
        <v>3194640</v>
      </c>
    </row>
    <row r="119" spans="1:13" x14ac:dyDescent="0.2">
      <c r="A119" s="4">
        <v>45565</v>
      </c>
      <c r="B119" s="6" t="str">
        <f t="shared" si="4"/>
        <v/>
      </c>
      <c r="C119" s="8"/>
      <c r="D119" s="1">
        <v>7434436</v>
      </c>
      <c r="E119" s="6" t="str">
        <f t="shared" si="5"/>
        <v/>
      </c>
      <c r="F119" s="8"/>
      <c r="G119" s="1">
        <v>24530000</v>
      </c>
      <c r="H119" s="7" t="str">
        <f t="shared" si="6"/>
        <v/>
      </c>
      <c r="I119" s="9"/>
      <c r="J119" s="1">
        <v>5555000</v>
      </c>
      <c r="K119" s="6" t="str">
        <f t="shared" si="7"/>
        <v/>
      </c>
      <c r="L119" s="8"/>
      <c r="M119" s="1">
        <v>3207000</v>
      </c>
    </row>
    <row r="120" spans="1:13" x14ac:dyDescent="0.2">
      <c r="A120" s="4">
        <v>45596</v>
      </c>
      <c r="B120" s="6" t="str">
        <f t="shared" si="4"/>
        <v/>
      </c>
      <c r="C120" s="8"/>
      <c r="D120" s="1">
        <v>7434881</v>
      </c>
      <c r="E120" s="6" t="str">
        <f t="shared" si="5"/>
        <v/>
      </c>
      <c r="F120" s="8"/>
      <c r="G120" s="1">
        <v>24508000</v>
      </c>
      <c r="H120" s="7" t="str">
        <f t="shared" si="6"/>
        <v/>
      </c>
      <c r="I120" s="9"/>
      <c r="J120" s="1">
        <v>5534000</v>
      </c>
      <c r="K120" s="6" t="str">
        <f t="shared" si="7"/>
        <v/>
      </c>
      <c r="L120" s="8"/>
      <c r="M120" s="1">
        <v>3210060</v>
      </c>
    </row>
    <row r="121" spans="1:13" x14ac:dyDescent="0.2">
      <c r="A121" s="4">
        <v>45625</v>
      </c>
      <c r="B121" s="6" t="str">
        <f t="shared" si="4"/>
        <v/>
      </c>
      <c r="C121" s="8"/>
      <c r="D121" s="1">
        <v>7434881</v>
      </c>
      <c r="E121" s="6" t="str">
        <f t="shared" si="5"/>
        <v/>
      </c>
      <c r="F121" s="8"/>
      <c r="G121" s="1">
        <v>24490000</v>
      </c>
      <c r="H121" s="7" t="str">
        <f t="shared" si="6"/>
        <v/>
      </c>
      <c r="I121" s="9"/>
      <c r="J121" s="1">
        <v>5534000</v>
      </c>
      <c r="K121" s="6" t="str">
        <f t="shared" si="7"/>
        <v/>
      </c>
      <c r="L121" s="8"/>
      <c r="M121" s="1">
        <v>3210060</v>
      </c>
    </row>
    <row r="122" spans="1:13" x14ac:dyDescent="0.2">
      <c r="A122" s="5">
        <v>45657</v>
      </c>
      <c r="B122" s="10" t="str">
        <f t="shared" si="4"/>
        <v/>
      </c>
      <c r="C122" s="11"/>
      <c r="D122" s="3">
        <v>7434881</v>
      </c>
      <c r="E122" s="10" t="str">
        <f t="shared" si="5"/>
        <v/>
      </c>
      <c r="F122" s="11"/>
      <c r="G122" s="3">
        <v>24490000</v>
      </c>
      <c r="H122" s="12" t="str">
        <f t="shared" si="6"/>
        <v/>
      </c>
      <c r="I122" s="13"/>
      <c r="J122" s="3">
        <v>5534000</v>
      </c>
      <c r="K122" s="10" t="str">
        <f t="shared" si="7"/>
        <v/>
      </c>
      <c r="L122" s="11"/>
      <c r="M122" s="3">
        <v>3210060</v>
      </c>
    </row>
  </sheetData>
  <mergeCells count="5">
    <mergeCell ref="A1:A2"/>
    <mergeCell ref="B1:D1"/>
    <mergeCell ref="E1:G1"/>
    <mergeCell ref="H1:J1"/>
    <mergeCell ref="K1:M1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8eec281-aaa3-4dae-ac9b-9a398b9215e7}" enabled="0" method="" siteId="{a8eec281-aaa3-4dae-ac9b-9a398b9215e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 2</vt:lpstr>
      <vt:lpstr>Split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Niramay Prashant Lakhani</dc:creator>
  <cp:lastModifiedBy>Niramay Prashant Lakhani</cp:lastModifiedBy>
  <dcterms:created xsi:type="dcterms:W3CDTF">2025-05-15T00:10:44Z</dcterms:created>
  <dcterms:modified xsi:type="dcterms:W3CDTF">2025-05-28T21:50:48Z</dcterms:modified>
</cp:coreProperties>
</file>